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Analyse F130\"/>
    </mc:Choice>
  </mc:AlternateContent>
  <bookViews>
    <workbookView xWindow="600" yWindow="75" windowWidth="2250" windowHeight="2115" tabRatio="709"/>
  </bookViews>
  <sheets>
    <sheet name="Commandes" sheetId="26" r:id="rId1"/>
    <sheet name="DATA" sheetId="44" r:id="rId2"/>
    <sheet name="Analyse INT" sheetId="19" r:id="rId3"/>
    <sheet name="Analyse EXT" sheetId="37" r:id="rId4"/>
    <sheet name="FORMULES" sheetId="14" r:id="rId5"/>
    <sheet name="TARIFS" sheetId="3" r:id="rId6"/>
    <sheet name="CALENDRIERS" sheetId="25" r:id="rId7"/>
    <sheet name="GEO" sheetId="29" r:id="rId8"/>
    <sheet name="FOURNISSEURS" sheetId="20" r:id="rId9"/>
    <sheet name="PARAM" sheetId="27" r:id="rId10"/>
  </sheets>
  <functionGroups builtInGroupCount="18"/>
  <definedNames>
    <definedName name="_xlnm._FilterDatabase" localSheetId="1" hidden="1">DATA!$C$6:$AK$132</definedName>
    <definedName name="_xlnm._FilterDatabase" localSheetId="8" hidden="1">FOURNISSEURS!$B$3:$C$49</definedName>
    <definedName name="_xlnm._FilterDatabase" localSheetId="7" hidden="1">GEO!$B$2:$D$98</definedName>
    <definedName name="CTR_C">Commandes!$C$5</definedName>
    <definedName name="FRN">FOURNISSEURS!$B$4:$B$102</definedName>
  </definedNames>
  <calcPr calcId="162913" refMode="R1C1"/>
  <pivotCaches>
    <pivotCache cacheId="0" r:id="rId11"/>
    <pivotCache cacheId="1" r:id="rId12"/>
    <pivotCache cacheId="2" r:id="rId13"/>
    <pivotCache cacheId="3" r:id="rId14"/>
    <pivotCache cacheId="4" r:id="rId15"/>
    <pivotCache cacheId="5" r:id="rId16"/>
  </pivotCaches>
</workbook>
</file>

<file path=xl/calcChain.xml><?xml version="1.0" encoding="utf-8"?>
<calcChain xmlns="http://schemas.openxmlformats.org/spreadsheetml/2006/main">
  <c r="Z132" i="44" l="1"/>
  <c r="AE132" i="44"/>
  <c r="AC132" i="44"/>
  <c r="AB132" i="44"/>
  <c r="AA132" i="44"/>
  <c r="S132" i="44"/>
  <c r="AD132" i="44" s="1"/>
  <c r="Z131" i="44"/>
  <c r="AE131" i="44"/>
  <c r="AC131" i="44"/>
  <c r="AB131" i="44"/>
  <c r="AA131" i="44"/>
  <c r="S131" i="44"/>
  <c r="AD131" i="44" s="1"/>
  <c r="Z130" i="44"/>
  <c r="AE130" i="44"/>
  <c r="AC130" i="44"/>
  <c r="AB130" i="44"/>
  <c r="AA130" i="44"/>
  <c r="S130" i="44"/>
  <c r="AD130" i="44" s="1"/>
  <c r="Z129" i="44"/>
  <c r="AE129" i="44"/>
  <c r="AC129" i="44"/>
  <c r="AB129" i="44"/>
  <c r="AA129" i="44"/>
  <c r="S129" i="44"/>
  <c r="AD129" i="44" s="1"/>
  <c r="Z128" i="44"/>
  <c r="AE128" i="44"/>
  <c r="AC128" i="44"/>
  <c r="AB128" i="44"/>
  <c r="AA128" i="44"/>
  <c r="S128" i="44"/>
  <c r="AD128" i="44" s="1"/>
  <c r="Z127" i="44"/>
  <c r="AE127" i="44"/>
  <c r="AD127" i="44"/>
  <c r="AC127" i="44"/>
  <c r="AB127" i="44"/>
  <c r="AA127" i="44"/>
  <c r="S127" i="44"/>
  <c r="Z126" i="44"/>
  <c r="AE126" i="44"/>
  <c r="AC126" i="44"/>
  <c r="AB126" i="44"/>
  <c r="AA126" i="44"/>
  <c r="S126" i="44"/>
  <c r="AD126" i="44" s="1"/>
  <c r="Z125" i="44"/>
  <c r="AE125" i="44"/>
  <c r="AC125" i="44"/>
  <c r="AB125" i="44"/>
  <c r="AA125" i="44"/>
  <c r="S125" i="44"/>
  <c r="AD125" i="44" s="1"/>
  <c r="Z124" i="44"/>
  <c r="AE124" i="44"/>
  <c r="AC124" i="44"/>
  <c r="AB124" i="44"/>
  <c r="AA124" i="44"/>
  <c r="S124" i="44"/>
  <c r="AD124" i="44" s="1"/>
  <c r="Z123" i="44"/>
  <c r="AE123" i="44"/>
  <c r="AC123" i="44"/>
  <c r="AB123" i="44"/>
  <c r="AA123" i="44"/>
  <c r="S123" i="44"/>
  <c r="AD123" i="44" s="1"/>
  <c r="Z122" i="44"/>
  <c r="AE122" i="44"/>
  <c r="AC122" i="44"/>
  <c r="AB122" i="44"/>
  <c r="AA122" i="44"/>
  <c r="S122" i="44"/>
  <c r="AD122" i="44" s="1"/>
  <c r="Z121" i="44"/>
  <c r="AE121" i="44"/>
  <c r="AD121" i="44"/>
  <c r="AC121" i="44"/>
  <c r="AB121" i="44"/>
  <c r="AA121" i="44"/>
  <c r="S121" i="44"/>
  <c r="Z120" i="44"/>
  <c r="AE120" i="44"/>
  <c r="AC120" i="44"/>
  <c r="AB120" i="44"/>
  <c r="AA120" i="44"/>
  <c r="S120" i="44"/>
  <c r="AD120" i="44" s="1"/>
  <c r="Z119" i="44"/>
  <c r="AE119" i="44"/>
  <c r="AC119" i="44"/>
  <c r="AB119" i="44"/>
  <c r="AA119" i="44"/>
  <c r="S119" i="44"/>
  <c r="AD119" i="44" s="1"/>
  <c r="Z118" i="44"/>
  <c r="AE118" i="44"/>
  <c r="AC118" i="44"/>
  <c r="AB118" i="44"/>
  <c r="AA118" i="44"/>
  <c r="S118" i="44"/>
  <c r="AD118" i="44" s="1"/>
  <c r="Z117" i="44"/>
  <c r="AE117" i="44"/>
  <c r="AC117" i="44"/>
  <c r="AB117" i="44"/>
  <c r="AA117" i="44"/>
  <c r="S117" i="44"/>
  <c r="AD117" i="44" s="1"/>
  <c r="Z116" i="44"/>
  <c r="AE116" i="44"/>
  <c r="AC116" i="44"/>
  <c r="AB116" i="44"/>
  <c r="AA116" i="44"/>
  <c r="S116" i="44"/>
  <c r="AD116" i="44" s="1"/>
  <c r="Z115" i="44"/>
  <c r="AE115" i="44"/>
  <c r="AC115" i="44"/>
  <c r="AB115" i="44"/>
  <c r="AA115" i="44"/>
  <c r="S115" i="44"/>
  <c r="AD115" i="44" s="1"/>
  <c r="Z114" i="44"/>
  <c r="AE114" i="44"/>
  <c r="AD114" i="44"/>
  <c r="AC114" i="44"/>
  <c r="AB114" i="44"/>
  <c r="AA114" i="44"/>
  <c r="S114" i="44"/>
  <c r="Z113" i="44"/>
  <c r="AE113" i="44"/>
  <c r="AC113" i="44"/>
  <c r="AB113" i="44"/>
  <c r="AA113" i="44"/>
  <c r="S113" i="44"/>
  <c r="AD113" i="44" s="1"/>
  <c r="Z112" i="44"/>
  <c r="AE112" i="44"/>
  <c r="AD112" i="44"/>
  <c r="AC112" i="44"/>
  <c r="AB112" i="44"/>
  <c r="AA112" i="44"/>
  <c r="S112" i="44"/>
  <c r="Z111" i="44"/>
  <c r="AE111" i="44"/>
  <c r="AD111" i="44"/>
  <c r="AC111" i="44"/>
  <c r="AB111" i="44"/>
  <c r="AA111" i="44"/>
  <c r="S111" i="44"/>
  <c r="Z110" i="44"/>
  <c r="AE110" i="44"/>
  <c r="AC110" i="44"/>
  <c r="AB110" i="44"/>
  <c r="AA110" i="44"/>
  <c r="S110" i="44"/>
  <c r="AD110" i="44" s="1"/>
  <c r="Z109" i="44"/>
  <c r="AE109" i="44"/>
  <c r="AC109" i="44"/>
  <c r="AB109" i="44"/>
  <c r="AA109" i="44"/>
  <c r="S109" i="44"/>
  <c r="AD109" i="44" s="1"/>
  <c r="Z108" i="44"/>
  <c r="AE108" i="44"/>
  <c r="AC108" i="44"/>
  <c r="AB108" i="44"/>
  <c r="AA108" i="44"/>
  <c r="S108" i="44"/>
  <c r="AD108" i="44" s="1"/>
  <c r="Z107" i="44"/>
  <c r="AE107" i="44"/>
  <c r="AC107" i="44"/>
  <c r="AB107" i="44"/>
  <c r="AA107" i="44"/>
  <c r="S107" i="44"/>
  <c r="AD107" i="44" s="1"/>
  <c r="Z106" i="44"/>
  <c r="AE106" i="44"/>
  <c r="AC106" i="44"/>
  <c r="AB106" i="44"/>
  <c r="AA106" i="44"/>
  <c r="S106" i="44"/>
  <c r="AD106" i="44" s="1"/>
  <c r="Z105" i="44"/>
  <c r="AE105" i="44"/>
  <c r="AD105" i="44"/>
  <c r="AC105" i="44"/>
  <c r="AB105" i="44"/>
  <c r="AA105" i="44"/>
  <c r="S105" i="44"/>
  <c r="Z104" i="44"/>
  <c r="AE104" i="44"/>
  <c r="AC104" i="44"/>
  <c r="AB104" i="44"/>
  <c r="AA104" i="44"/>
  <c r="S104" i="44"/>
  <c r="AD104" i="44" s="1"/>
  <c r="Z103" i="44"/>
  <c r="AE103" i="44"/>
  <c r="AC103" i="44"/>
  <c r="AB103" i="44"/>
  <c r="AA103" i="44"/>
  <c r="S103" i="44"/>
  <c r="AD103" i="44" s="1"/>
  <c r="Z102" i="44"/>
  <c r="AE102" i="44"/>
  <c r="AC102" i="44"/>
  <c r="AB102" i="44"/>
  <c r="AA102" i="44"/>
  <c r="S102" i="44"/>
  <c r="AD102" i="44" s="1"/>
  <c r="Z101" i="44"/>
  <c r="AE101" i="44"/>
  <c r="AC101" i="44"/>
  <c r="AB101" i="44"/>
  <c r="AA101" i="44"/>
  <c r="S101" i="44"/>
  <c r="AD101" i="44" s="1"/>
  <c r="Z100" i="44"/>
  <c r="AE100" i="44"/>
  <c r="AC100" i="44"/>
  <c r="AB100" i="44"/>
  <c r="AA100" i="44"/>
  <c r="S100" i="44"/>
  <c r="AD100" i="44" s="1"/>
  <c r="Z99" i="44"/>
  <c r="AE99" i="44"/>
  <c r="AC99" i="44"/>
  <c r="AB99" i="44"/>
  <c r="AA99" i="44"/>
  <c r="S99" i="44"/>
  <c r="AD99" i="44" s="1"/>
  <c r="Z98" i="44"/>
  <c r="AE98" i="44"/>
  <c r="AD98" i="44"/>
  <c r="AC98" i="44"/>
  <c r="AB98" i="44"/>
  <c r="AA98" i="44"/>
  <c r="S98" i="44"/>
  <c r="Z97" i="44"/>
  <c r="AE97" i="44"/>
  <c r="AC97" i="44"/>
  <c r="AB97" i="44"/>
  <c r="AA97" i="44"/>
  <c r="S97" i="44"/>
  <c r="AD97" i="44" s="1"/>
  <c r="Z96" i="44"/>
  <c r="AE96" i="44"/>
  <c r="AD96" i="44"/>
  <c r="AC96" i="44"/>
  <c r="AB96" i="44"/>
  <c r="AA96" i="44"/>
  <c r="S96" i="44"/>
  <c r="Z95" i="44"/>
  <c r="AE95" i="44"/>
  <c r="AD95" i="44"/>
  <c r="AC95" i="44"/>
  <c r="AB95" i="44"/>
  <c r="AA95" i="44"/>
  <c r="S95" i="44"/>
  <c r="Z94" i="44"/>
  <c r="AE94" i="44"/>
  <c r="AC94" i="44"/>
  <c r="AB94" i="44"/>
  <c r="AA94" i="44"/>
  <c r="S94" i="44"/>
  <c r="AD94" i="44" s="1"/>
  <c r="Z93" i="44"/>
  <c r="AE93" i="44"/>
  <c r="AC93" i="44"/>
  <c r="AB93" i="44"/>
  <c r="AA93" i="44"/>
  <c r="S93" i="44"/>
  <c r="AD93" i="44" s="1"/>
  <c r="Z92" i="44"/>
  <c r="AE92" i="44"/>
  <c r="AC92" i="44"/>
  <c r="AB92" i="44"/>
  <c r="AA92" i="44"/>
  <c r="S92" i="44"/>
  <c r="AD92" i="44" s="1"/>
  <c r="Z91" i="44"/>
  <c r="AE91" i="44"/>
  <c r="AC91" i="44"/>
  <c r="AB91" i="44"/>
  <c r="AA91" i="44"/>
  <c r="S91" i="44"/>
  <c r="AD91" i="44" s="1"/>
  <c r="Z90" i="44"/>
  <c r="AE90" i="44"/>
  <c r="AC90" i="44"/>
  <c r="AB90" i="44"/>
  <c r="AA90" i="44"/>
  <c r="S90" i="44"/>
  <c r="AD90" i="44" s="1"/>
  <c r="Z89" i="44"/>
  <c r="AE89" i="44"/>
  <c r="AD89" i="44"/>
  <c r="AC89" i="44"/>
  <c r="AB89" i="44"/>
  <c r="AA89" i="44"/>
  <c r="S89" i="44"/>
  <c r="Z88" i="44"/>
  <c r="AE88" i="44"/>
  <c r="AC88" i="44"/>
  <c r="AB88" i="44"/>
  <c r="AA88" i="44"/>
  <c r="S88" i="44"/>
  <c r="AD88" i="44" s="1"/>
  <c r="Z87" i="44"/>
  <c r="AE87" i="44"/>
  <c r="AC87" i="44"/>
  <c r="AB87" i="44"/>
  <c r="AA87" i="44"/>
  <c r="S87" i="44"/>
  <c r="AD87" i="44" s="1"/>
  <c r="Z86" i="44"/>
  <c r="AE86" i="44"/>
  <c r="AC86" i="44"/>
  <c r="AB86" i="44"/>
  <c r="AA86" i="44"/>
  <c r="S86" i="44"/>
  <c r="AD86" i="44" s="1"/>
  <c r="Z85" i="44"/>
  <c r="AE85" i="44"/>
  <c r="AC85" i="44"/>
  <c r="AB85" i="44"/>
  <c r="AA85" i="44"/>
  <c r="S85" i="44"/>
  <c r="AD85" i="44" s="1"/>
  <c r="Z84" i="44"/>
  <c r="AE84" i="44"/>
  <c r="AC84" i="44"/>
  <c r="AB84" i="44"/>
  <c r="AA84" i="44"/>
  <c r="S84" i="44"/>
  <c r="AD84" i="44" s="1"/>
  <c r="Z83" i="44"/>
  <c r="AE83" i="44"/>
  <c r="AC83" i="44"/>
  <c r="AB83" i="44"/>
  <c r="AA83" i="44"/>
  <c r="S83" i="44"/>
  <c r="AD83" i="44" s="1"/>
  <c r="Z82" i="44"/>
  <c r="AE82" i="44"/>
  <c r="AD82" i="44"/>
  <c r="AC82" i="44"/>
  <c r="AB82" i="44"/>
  <c r="AA82" i="44"/>
  <c r="S82" i="44"/>
  <c r="Z81" i="44"/>
  <c r="AE81" i="44"/>
  <c r="AC81" i="44"/>
  <c r="AB81" i="44"/>
  <c r="AA81" i="44"/>
  <c r="S81" i="44"/>
  <c r="AD81" i="44" s="1"/>
  <c r="Z80" i="44"/>
  <c r="AE80" i="44"/>
  <c r="AD80" i="44"/>
  <c r="AC80" i="44"/>
  <c r="AB80" i="44"/>
  <c r="AA80" i="44"/>
  <c r="S80" i="44"/>
  <c r="Z79" i="44"/>
  <c r="AE79" i="44"/>
  <c r="AD79" i="44"/>
  <c r="AC79" i="44"/>
  <c r="AB79" i="44"/>
  <c r="AA79" i="44"/>
  <c r="S79" i="44"/>
  <c r="Z78" i="44"/>
  <c r="AE78" i="44"/>
  <c r="AC78" i="44"/>
  <c r="AB78" i="44"/>
  <c r="AA78" i="44"/>
  <c r="S78" i="44"/>
  <c r="AD78" i="44" s="1"/>
  <c r="Z77" i="44"/>
  <c r="AE77" i="44"/>
  <c r="AC77" i="44"/>
  <c r="AB77" i="44"/>
  <c r="AA77" i="44"/>
  <c r="S77" i="44"/>
  <c r="AD77" i="44" s="1"/>
  <c r="Z76" i="44"/>
  <c r="AE76" i="44"/>
  <c r="AC76" i="44"/>
  <c r="AB76" i="44"/>
  <c r="AA76" i="44"/>
  <c r="S76" i="44"/>
  <c r="AD76" i="44" s="1"/>
  <c r="Z75" i="44"/>
  <c r="AE75" i="44"/>
  <c r="AC75" i="44"/>
  <c r="AB75" i="44"/>
  <c r="AA75" i="44"/>
  <c r="S75" i="44"/>
  <c r="AD75" i="44" s="1"/>
  <c r="Z74" i="44"/>
  <c r="AE74" i="44"/>
  <c r="AC74" i="44"/>
  <c r="AB74" i="44"/>
  <c r="AA74" i="44"/>
  <c r="S74" i="44"/>
  <c r="AD74" i="44" s="1"/>
  <c r="Z73" i="44"/>
  <c r="AE73" i="44"/>
  <c r="AD73" i="44"/>
  <c r="AC73" i="44"/>
  <c r="AB73" i="44"/>
  <c r="AA73" i="44"/>
  <c r="S73" i="44"/>
  <c r="Z72" i="44"/>
  <c r="AE72" i="44"/>
  <c r="AC72" i="44"/>
  <c r="AB72" i="44"/>
  <c r="AA72" i="44"/>
  <c r="S72" i="44"/>
  <c r="AD72" i="44" s="1"/>
  <c r="Z71" i="44"/>
  <c r="AE71" i="44"/>
  <c r="AC71" i="44"/>
  <c r="AB71" i="44"/>
  <c r="AA71" i="44"/>
  <c r="S71" i="44"/>
  <c r="AD71" i="44" s="1"/>
  <c r="Z70" i="44"/>
  <c r="AE70" i="44"/>
  <c r="AC70" i="44"/>
  <c r="AB70" i="44"/>
  <c r="AA70" i="44"/>
  <c r="S70" i="44"/>
  <c r="AD70" i="44" s="1"/>
  <c r="Z69" i="44"/>
  <c r="AE69" i="44"/>
  <c r="AC69" i="44"/>
  <c r="AB69" i="44"/>
  <c r="AA69" i="44"/>
  <c r="S69" i="44"/>
  <c r="AD69" i="44" s="1"/>
  <c r="Z68" i="44"/>
  <c r="AE68" i="44"/>
  <c r="AC68" i="44"/>
  <c r="AB68" i="44"/>
  <c r="AA68" i="44"/>
  <c r="S68" i="44"/>
  <c r="AD68" i="44" s="1"/>
  <c r="Z67" i="44"/>
  <c r="AE67" i="44"/>
  <c r="AC67" i="44"/>
  <c r="AB67" i="44"/>
  <c r="AA67" i="44"/>
  <c r="S67" i="44"/>
  <c r="AD67" i="44" s="1"/>
  <c r="Z66" i="44"/>
  <c r="AE66" i="44"/>
  <c r="AD66" i="44"/>
  <c r="AC66" i="44"/>
  <c r="AB66" i="44"/>
  <c r="AA66" i="44"/>
  <c r="S66" i="44"/>
  <c r="Z65" i="44"/>
  <c r="AE65" i="44"/>
  <c r="AC65" i="44"/>
  <c r="AB65" i="44"/>
  <c r="AA65" i="44"/>
  <c r="S65" i="44"/>
  <c r="AD65" i="44" s="1"/>
  <c r="Z64" i="44"/>
  <c r="AE64" i="44"/>
  <c r="AD64" i="44"/>
  <c r="AC64" i="44"/>
  <c r="AB64" i="44"/>
  <c r="AA64" i="44"/>
  <c r="S64" i="44"/>
  <c r="Z63" i="44"/>
  <c r="AE63" i="44"/>
  <c r="AD63" i="44"/>
  <c r="AC63" i="44"/>
  <c r="AB63" i="44"/>
  <c r="AA63" i="44"/>
  <c r="S63" i="44"/>
  <c r="Z62" i="44"/>
  <c r="AE62" i="44"/>
  <c r="AC62" i="44"/>
  <c r="AB62" i="44"/>
  <c r="AA62" i="44"/>
  <c r="S62" i="44"/>
  <c r="AD62" i="44" s="1"/>
  <c r="Z61" i="44"/>
  <c r="AE61" i="44"/>
  <c r="AC61" i="44"/>
  <c r="AB61" i="44"/>
  <c r="AA61" i="44"/>
  <c r="S61" i="44"/>
  <c r="AD61" i="44" s="1"/>
  <c r="Z60" i="44"/>
  <c r="AE60" i="44"/>
  <c r="AC60" i="44"/>
  <c r="AB60" i="44"/>
  <c r="AA60" i="44"/>
  <c r="S60" i="44"/>
  <c r="AD60" i="44" s="1"/>
  <c r="Z59" i="44"/>
  <c r="AE59" i="44"/>
  <c r="AC59" i="44"/>
  <c r="AB59" i="44"/>
  <c r="AA59" i="44"/>
  <c r="S59" i="44"/>
  <c r="AD59" i="44" s="1"/>
  <c r="Z58" i="44"/>
  <c r="AE58" i="44"/>
  <c r="AC58" i="44"/>
  <c r="AB58" i="44"/>
  <c r="AA58" i="44"/>
  <c r="S58" i="44"/>
  <c r="AD58" i="44" s="1"/>
  <c r="Z57" i="44"/>
  <c r="AE57" i="44"/>
  <c r="AD57" i="44"/>
  <c r="AC57" i="44"/>
  <c r="AB57" i="44"/>
  <c r="AA57" i="44"/>
  <c r="S57" i="44"/>
  <c r="Z56" i="44"/>
  <c r="AE56" i="44"/>
  <c r="AC56" i="44"/>
  <c r="AB56" i="44"/>
  <c r="AA56" i="44"/>
  <c r="S56" i="44"/>
  <c r="AD56" i="44" s="1"/>
  <c r="Z55" i="44"/>
  <c r="AE55" i="44"/>
  <c r="AC55" i="44"/>
  <c r="AB55" i="44"/>
  <c r="AA55" i="44"/>
  <c r="S55" i="44"/>
  <c r="AD55" i="44" s="1"/>
  <c r="Z54" i="44"/>
  <c r="AE54" i="44"/>
  <c r="AC54" i="44"/>
  <c r="AB54" i="44"/>
  <c r="AA54" i="44"/>
  <c r="S54" i="44"/>
  <c r="AD54" i="44" s="1"/>
  <c r="Z53" i="44"/>
  <c r="AE53" i="44"/>
  <c r="AC53" i="44"/>
  <c r="AB53" i="44"/>
  <c r="AA53" i="44"/>
  <c r="S53" i="44"/>
  <c r="AD53" i="44" s="1"/>
  <c r="Z52" i="44"/>
  <c r="AE52" i="44"/>
  <c r="AC52" i="44"/>
  <c r="AB52" i="44"/>
  <c r="AA52" i="44"/>
  <c r="S52" i="44"/>
  <c r="AD52" i="44" s="1"/>
  <c r="Z51" i="44"/>
  <c r="AE51" i="44"/>
  <c r="AC51" i="44"/>
  <c r="AB51" i="44"/>
  <c r="AA51" i="44"/>
  <c r="S51" i="44"/>
  <c r="AD51" i="44" s="1"/>
  <c r="Z50" i="44"/>
  <c r="AE50" i="44"/>
  <c r="AD50" i="44"/>
  <c r="AC50" i="44"/>
  <c r="AB50" i="44"/>
  <c r="AA50" i="44"/>
  <c r="S50" i="44"/>
  <c r="Z49" i="44"/>
  <c r="AE49" i="44"/>
  <c r="AC49" i="44"/>
  <c r="AB49" i="44"/>
  <c r="AA49" i="44"/>
  <c r="S49" i="44"/>
  <c r="AD49" i="44" s="1"/>
  <c r="Z48" i="44"/>
  <c r="AE48" i="44"/>
  <c r="AD48" i="44"/>
  <c r="AC48" i="44"/>
  <c r="AB48" i="44"/>
  <c r="AA48" i="44"/>
  <c r="S48" i="44"/>
  <c r="Z47" i="44"/>
  <c r="AE47" i="44"/>
  <c r="AD47" i="44"/>
  <c r="AC47" i="44"/>
  <c r="AB47" i="44"/>
  <c r="AA47" i="44"/>
  <c r="S47" i="44"/>
  <c r="Z46" i="44"/>
  <c r="AE46" i="44"/>
  <c r="AC46" i="44"/>
  <c r="AB46" i="44"/>
  <c r="AA46" i="44"/>
  <c r="S46" i="44"/>
  <c r="AD46" i="44" s="1"/>
  <c r="Z45" i="44"/>
  <c r="AE45" i="44"/>
  <c r="AC45" i="44"/>
  <c r="AB45" i="44"/>
  <c r="AA45" i="44"/>
  <c r="S45" i="44"/>
  <c r="AD45" i="44" s="1"/>
  <c r="Z44" i="44"/>
  <c r="AE44" i="44"/>
  <c r="AC44" i="44"/>
  <c r="AB44" i="44"/>
  <c r="AA44" i="44"/>
  <c r="S44" i="44"/>
  <c r="AD44" i="44" s="1"/>
  <c r="Z43" i="44"/>
  <c r="AE43" i="44"/>
  <c r="AC43" i="44"/>
  <c r="AB43" i="44"/>
  <c r="AA43" i="44"/>
  <c r="S43" i="44"/>
  <c r="AD43" i="44" s="1"/>
  <c r="Z42" i="44"/>
  <c r="AE42" i="44"/>
  <c r="AC42" i="44"/>
  <c r="AB42" i="44"/>
  <c r="AA42" i="44"/>
  <c r="S42" i="44"/>
  <c r="AD42" i="44" s="1"/>
  <c r="Z41" i="44"/>
  <c r="AE41" i="44"/>
  <c r="AD41" i="44"/>
  <c r="AC41" i="44"/>
  <c r="AB41" i="44"/>
  <c r="AA41" i="44"/>
  <c r="S41" i="44"/>
  <c r="Z40" i="44"/>
  <c r="AE40" i="44"/>
  <c r="AC40" i="44"/>
  <c r="AB40" i="44"/>
  <c r="AA40" i="44"/>
  <c r="S40" i="44"/>
  <c r="AD40" i="44" s="1"/>
  <c r="Z39" i="44"/>
  <c r="AE39" i="44"/>
  <c r="AC39" i="44"/>
  <c r="AB39" i="44"/>
  <c r="AA39" i="44"/>
  <c r="S39" i="44"/>
  <c r="AD39" i="44" s="1"/>
  <c r="Z38" i="44"/>
  <c r="AE38" i="44"/>
  <c r="AC38" i="44"/>
  <c r="AB38" i="44"/>
  <c r="AA38" i="44"/>
  <c r="S38" i="44"/>
  <c r="AD38" i="44" s="1"/>
  <c r="Z37" i="44"/>
  <c r="AE37" i="44"/>
  <c r="AC37" i="44"/>
  <c r="AB37" i="44"/>
  <c r="AA37" i="44"/>
  <c r="S37" i="44"/>
  <c r="AD37" i="44" s="1"/>
  <c r="Z36" i="44"/>
  <c r="AE36" i="44"/>
  <c r="AC36" i="44"/>
  <c r="AB36" i="44"/>
  <c r="AA36" i="44"/>
  <c r="S36" i="44"/>
  <c r="AD36" i="44" s="1"/>
  <c r="Z35" i="44"/>
  <c r="AE35" i="44"/>
  <c r="AC35" i="44"/>
  <c r="AB35" i="44"/>
  <c r="AA35" i="44"/>
  <c r="S35" i="44"/>
  <c r="AD35" i="44" s="1"/>
  <c r="Z34" i="44"/>
  <c r="AE34" i="44"/>
  <c r="AD34" i="44"/>
  <c r="AC34" i="44"/>
  <c r="AB34" i="44"/>
  <c r="AA34" i="44"/>
  <c r="S34" i="44"/>
  <c r="Z33" i="44"/>
  <c r="AE33" i="44"/>
  <c r="AC33" i="44"/>
  <c r="AB33" i="44"/>
  <c r="AA33" i="44"/>
  <c r="S33" i="44"/>
  <c r="AD33" i="44" s="1"/>
  <c r="Z32" i="44"/>
  <c r="AE32" i="44"/>
  <c r="AD32" i="44"/>
  <c r="AC32" i="44"/>
  <c r="AB32" i="44"/>
  <c r="AA32" i="44"/>
  <c r="S32" i="44"/>
  <c r="Z31" i="44"/>
  <c r="AE31" i="44"/>
  <c r="AD31" i="44"/>
  <c r="AC31" i="44"/>
  <c r="AB31" i="44"/>
  <c r="AA31" i="44"/>
  <c r="S31" i="44"/>
  <c r="Z30" i="44"/>
  <c r="AE30" i="44"/>
  <c r="AC30" i="44"/>
  <c r="AB30" i="44"/>
  <c r="AA30" i="44"/>
  <c r="S30" i="44"/>
  <c r="AD30" i="44" s="1"/>
  <c r="Z29" i="44"/>
  <c r="AE29" i="44"/>
  <c r="AC29" i="44"/>
  <c r="AB29" i="44"/>
  <c r="AA29" i="44"/>
  <c r="S29" i="44"/>
  <c r="AD29" i="44" s="1"/>
  <c r="Z28" i="44"/>
  <c r="AE28" i="44"/>
  <c r="AC28" i="44"/>
  <c r="AB28" i="44"/>
  <c r="AA28" i="44"/>
  <c r="S28" i="44"/>
  <c r="AD28" i="44" s="1"/>
  <c r="Z27" i="44"/>
  <c r="AE27" i="44"/>
  <c r="AC27" i="44"/>
  <c r="AB27" i="44"/>
  <c r="AA27" i="44"/>
  <c r="S27" i="44"/>
  <c r="AD27" i="44" s="1"/>
  <c r="Z26" i="44"/>
  <c r="AE26" i="44"/>
  <c r="AC26" i="44"/>
  <c r="AB26" i="44"/>
  <c r="AA26" i="44"/>
  <c r="S26" i="44"/>
  <c r="AD26" i="44" s="1"/>
  <c r="Z25" i="44"/>
  <c r="AE25" i="44"/>
  <c r="AD25" i="44"/>
  <c r="AC25" i="44"/>
  <c r="AB25" i="44"/>
  <c r="AA25" i="44"/>
  <c r="S25" i="44"/>
  <c r="Z24" i="44"/>
  <c r="AE24" i="44"/>
  <c r="AC24" i="44"/>
  <c r="AB24" i="44"/>
  <c r="AA24" i="44"/>
  <c r="S24" i="44"/>
  <c r="AD24" i="44" s="1"/>
  <c r="Z23" i="44"/>
  <c r="AE23" i="44"/>
  <c r="AC23" i="44"/>
  <c r="AB23" i="44"/>
  <c r="AA23" i="44"/>
  <c r="S23" i="44"/>
  <c r="AD23" i="44" s="1"/>
  <c r="Z22" i="44"/>
  <c r="AE22" i="44"/>
  <c r="AC22" i="44"/>
  <c r="AB22" i="44"/>
  <c r="AA22" i="44"/>
  <c r="S22" i="44"/>
  <c r="AD22" i="44" s="1"/>
  <c r="Z21" i="44"/>
  <c r="AE21" i="44"/>
  <c r="AC21" i="44"/>
  <c r="AB21" i="44"/>
  <c r="AA21" i="44"/>
  <c r="S21" i="44"/>
  <c r="AD21" i="44" s="1"/>
  <c r="Z20" i="44"/>
  <c r="AE20" i="44"/>
  <c r="AC20" i="44"/>
  <c r="AB20" i="44"/>
  <c r="AA20" i="44"/>
  <c r="S20" i="44"/>
  <c r="AD20" i="44" s="1"/>
  <c r="Z19" i="44"/>
  <c r="AE19" i="44"/>
  <c r="AC19" i="44"/>
  <c r="AB19" i="44"/>
  <c r="AA19" i="44"/>
  <c r="S19" i="44"/>
  <c r="AD19" i="44" s="1"/>
  <c r="Z18" i="44"/>
  <c r="AE18" i="44"/>
  <c r="AD18" i="44"/>
  <c r="AC18" i="44"/>
  <c r="AB18" i="44"/>
  <c r="AA18" i="44"/>
  <c r="S18" i="44"/>
  <c r="Z17" i="44"/>
  <c r="AE17" i="44"/>
  <c r="AC17" i="44"/>
  <c r="AB17" i="44"/>
  <c r="AA17" i="44"/>
  <c r="S17" i="44"/>
  <c r="AD17" i="44" s="1"/>
  <c r="Z16" i="44"/>
  <c r="AE16" i="44"/>
  <c r="AD16" i="44"/>
  <c r="AC16" i="44"/>
  <c r="AB16" i="44"/>
  <c r="AA16" i="44"/>
  <c r="S16" i="44"/>
  <c r="Z15" i="44"/>
  <c r="AE15" i="44"/>
  <c r="AD15" i="44"/>
  <c r="AC15" i="44"/>
  <c r="AB15" i="44"/>
  <c r="AA15" i="44"/>
  <c r="S15" i="44"/>
  <c r="Z14" i="44"/>
  <c r="AE14" i="44"/>
  <c r="AC14" i="44"/>
  <c r="AB14" i="44"/>
  <c r="AA14" i="44"/>
  <c r="S14" i="44"/>
  <c r="AD14" i="44" s="1"/>
  <c r="Z13" i="44"/>
  <c r="AE13" i="44"/>
  <c r="AC13" i="44"/>
  <c r="AB13" i="44"/>
  <c r="AA13" i="44"/>
  <c r="S13" i="44"/>
  <c r="AD13" i="44" s="1"/>
  <c r="Z12" i="44"/>
  <c r="AE12" i="44"/>
  <c r="AC12" i="44"/>
  <c r="AB12" i="44"/>
  <c r="AA12" i="44"/>
  <c r="S12" i="44"/>
  <c r="AD12" i="44" s="1"/>
  <c r="Z11" i="44"/>
  <c r="AE11" i="44"/>
  <c r="AC11" i="44"/>
  <c r="AB11" i="44"/>
  <c r="AA11" i="44"/>
  <c r="S11" i="44"/>
  <c r="AD11" i="44" s="1"/>
  <c r="Z10" i="44"/>
  <c r="AE10" i="44"/>
  <c r="AC10" i="44"/>
  <c r="AB10" i="44"/>
  <c r="AA10" i="44"/>
  <c r="S10" i="44"/>
  <c r="AD10" i="44" s="1"/>
  <c r="Z9" i="44"/>
  <c r="AE9" i="44"/>
  <c r="AD9" i="44"/>
  <c r="AC9" i="44"/>
  <c r="AB9" i="44"/>
  <c r="AA9" i="44"/>
  <c r="S9" i="44"/>
  <c r="Z8" i="44"/>
  <c r="AE8" i="44"/>
  <c r="AC8" i="44"/>
  <c r="AB8" i="44"/>
  <c r="AA8" i="44"/>
  <c r="S8" i="44"/>
  <c r="AD8" i="44" s="1"/>
  <c r="Z7" i="44"/>
  <c r="AE7" i="44"/>
  <c r="AC7" i="44"/>
  <c r="AB7" i="44"/>
  <c r="AA7" i="44"/>
  <c r="S7" i="44"/>
  <c r="AD7" i="44" s="1"/>
  <c r="H3" i="44"/>
</calcChain>
</file>

<file path=xl/comments1.xml><?xml version="1.0" encoding="utf-8"?>
<comments xmlns="http://schemas.openxmlformats.org/spreadsheetml/2006/main">
  <authors>
    <author>pa159cbn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>Nombre de cadrans cible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 xml:space="preserve">Puissance souscrite cible
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 xml:space="preserve">Etat contractuel initial
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Contrat GRD initial
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Code tarif DISCO initial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Nombre de cadrans initial calculé à partir du code tarif DISCO (à titre d'info, non utilisé dans l'analyse)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FTA initiale calculée à partir du code tarif DISCO
(à titre d'info, non utilisé dans l'analyse)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Contexte d'utilisation calculé à partir du code tarif DISCO</t>
        </r>
      </text>
    </comment>
    <comment ref="O6" authorId="0" shapeId="0">
      <text>
        <r>
          <rPr>
            <sz val="9"/>
            <color indexed="81"/>
            <rFont val="Tahoma"/>
            <family val="2"/>
          </rPr>
          <t>Nombre de cadrans initial calculé à partir du calendrier</t>
        </r>
      </text>
    </comment>
    <comment ref="Q6" authorId="0" shapeId="0">
      <text>
        <r>
          <rPr>
            <sz val="9"/>
            <color indexed="81"/>
            <rFont val="Tahoma"/>
            <family val="2"/>
          </rPr>
          <t>Contexte d'utilisation récupéré directement de la base PRM où il n'est renseigné que pour les points Ginko</t>
        </r>
      </text>
    </comment>
    <comment ref="R6" authorId="0" shapeId="0">
      <text>
        <r>
          <rPr>
            <sz val="9"/>
            <color indexed="81"/>
            <rFont val="Tahoma"/>
            <family val="2"/>
          </rPr>
          <t xml:space="preserve">Puissance souscrite initiale
</t>
        </r>
      </text>
    </comment>
    <comment ref="AA6" authorId="0" shapeId="0">
      <text>
        <r>
          <rPr>
            <sz val="9"/>
            <color indexed="81"/>
            <rFont val="Tahoma"/>
            <family val="2"/>
          </rPr>
          <t xml:space="preserve">Le contrat initial est différent du contrat cible
</t>
        </r>
      </text>
    </comment>
    <comment ref="AB6" authorId="0" shapeId="0">
      <text>
        <r>
          <rPr>
            <sz val="9"/>
            <color indexed="81"/>
            <rFont val="Tahoma"/>
            <family val="2"/>
          </rPr>
          <t xml:space="preserve">Le nombre de cadran initial est différent du nombre de cadrans cible
</t>
        </r>
      </text>
    </comment>
    <comment ref="AC6" authorId="0" shapeId="0">
      <text>
        <r>
          <rPr>
            <sz val="9"/>
            <color indexed="81"/>
            <rFont val="Tahoma"/>
            <family val="2"/>
          </rPr>
          <t xml:space="preserve">La FTA initiale est différente de la FTA cible
</t>
        </r>
      </text>
    </comment>
    <comment ref="AD6" authorId="0" shapeId="0">
      <text>
        <r>
          <rPr>
            <sz val="9"/>
            <color indexed="81"/>
            <rFont val="Tahoma"/>
            <family val="2"/>
          </rPr>
          <t xml:space="preserve">Le contexte d'utilisation cible est différent du contexte d'uilisation initial
</t>
        </r>
      </text>
    </comment>
    <comment ref="AE6" authorId="0" shapeId="0">
      <text>
        <r>
          <rPr>
            <sz val="9"/>
            <color indexed="81"/>
            <rFont val="Tahoma"/>
            <family val="2"/>
          </rPr>
          <t>La puissance souscrite initiale est différente de la puissance souscrite cible</t>
        </r>
      </text>
    </comment>
    <comment ref="AJ6" authorId="0" shapeId="0">
      <text>
        <r>
          <rPr>
            <sz val="9"/>
            <color indexed="81"/>
            <rFont val="Tahoma"/>
            <family val="2"/>
          </rPr>
          <t>Motif de non recevabilité</t>
        </r>
      </text>
    </comment>
    <comment ref="AK6" authorId="0" shapeId="0">
      <text>
        <r>
          <rPr>
            <sz val="9"/>
            <color indexed="81"/>
            <rFont val="Tahoma"/>
            <family val="2"/>
          </rPr>
          <t>Motif de nécessité de déplacement sur site</t>
        </r>
      </text>
    </comment>
  </commentList>
</comments>
</file>

<file path=xl/sharedStrings.xml><?xml version="1.0" encoding="utf-8"?>
<sst xmlns="http://schemas.openxmlformats.org/spreadsheetml/2006/main" count="3353" uniqueCount="1129">
  <si>
    <t>GRD-F003</t>
  </si>
  <si>
    <t>GRD-F006</t>
  </si>
  <si>
    <t>GRD-F001</t>
  </si>
  <si>
    <t>MU</t>
  </si>
  <si>
    <t>CU</t>
  </si>
  <si>
    <t>LU</t>
  </si>
  <si>
    <t>Picardie</t>
  </si>
  <si>
    <t>Normandie</t>
  </si>
  <si>
    <t>Lorraine</t>
  </si>
  <si>
    <t>Paris</t>
  </si>
  <si>
    <t>Centre</t>
  </si>
  <si>
    <t>Bourgogne</t>
  </si>
  <si>
    <t>Bretagne</t>
  </si>
  <si>
    <t>Auvergne</t>
  </si>
  <si>
    <t>Total général</t>
  </si>
  <si>
    <t>GRD-F018</t>
  </si>
  <si>
    <t>ALPIQ ENERGIE France</t>
  </si>
  <si>
    <t>GRD-F035</t>
  </si>
  <si>
    <t>Alterna</t>
  </si>
  <si>
    <t>GRD-F016</t>
  </si>
  <si>
    <t>GRD-F040</t>
  </si>
  <si>
    <t>CNR</t>
  </si>
  <si>
    <t>GRD-F007</t>
  </si>
  <si>
    <t>Direct Energie</t>
  </si>
  <si>
    <t>GRD-F004</t>
  </si>
  <si>
    <t>GRD-F031</t>
  </si>
  <si>
    <t>ENALP</t>
  </si>
  <si>
    <t>GRD-F021</t>
  </si>
  <si>
    <t>GRD-F029</t>
  </si>
  <si>
    <t>Enercoop</t>
  </si>
  <si>
    <t>ENERGEM</t>
  </si>
  <si>
    <t>GRD-F024</t>
  </si>
  <si>
    <t>ENOVOS Luxembourg SA</t>
  </si>
  <si>
    <t>GRD-F030</t>
  </si>
  <si>
    <t>GRD-F033</t>
  </si>
  <si>
    <t>ES Energies Strasbourg</t>
  </si>
  <si>
    <t>GRD-F013</t>
  </si>
  <si>
    <t>Gedia Energies &amp; Services</t>
  </si>
  <si>
    <t>GRD-F028</t>
  </si>
  <si>
    <t>GEG SdE</t>
  </si>
  <si>
    <t>GRD-F015</t>
  </si>
  <si>
    <t>HYDRONEXT</t>
  </si>
  <si>
    <t>GRD-F036</t>
  </si>
  <si>
    <t>Iberdrola</t>
  </si>
  <si>
    <t>GRD-F034</t>
  </si>
  <si>
    <t>IBERDROLA CLIENTES SA</t>
  </si>
  <si>
    <t>GRD-F041</t>
  </si>
  <si>
    <t>GRD-F027</t>
  </si>
  <si>
    <t>LUCIA</t>
  </si>
  <si>
    <t>GRD-F022</t>
  </si>
  <si>
    <t>PLANETE OUI</t>
  </si>
  <si>
    <t>GRD-F023</t>
  </si>
  <si>
    <t>Proxelia</t>
  </si>
  <si>
    <t>GRD-F020</t>
  </si>
  <si>
    <t>GRD-F039</t>
  </si>
  <si>
    <t>GRD-F032</t>
  </si>
  <si>
    <t>VATTENFALL ENERGIES SA</t>
  </si>
  <si>
    <t>GRD-F038</t>
  </si>
  <si>
    <t>VATTENFALL EUROPE SALES</t>
  </si>
  <si>
    <t>GRD-F037</t>
  </si>
  <si>
    <t>ALSEN</t>
  </si>
  <si>
    <t>GRD-F043</t>
  </si>
  <si>
    <t>GRD-F042</t>
  </si>
  <si>
    <t>GRD-F045</t>
  </si>
  <si>
    <t>ENI GAS &amp; POWER France</t>
  </si>
  <si>
    <t>GRD-F044</t>
  </si>
  <si>
    <t>GRD-F046</t>
  </si>
  <si>
    <t>HYDROPTION</t>
  </si>
  <si>
    <t>GRD-F047</t>
  </si>
  <si>
    <t>EBM</t>
  </si>
  <si>
    <t>GRD-F048</t>
  </si>
  <si>
    <t>Total Energie Gaz</t>
  </si>
  <si>
    <t>GRD-F049</t>
  </si>
  <si>
    <t>ENERGIES DU SANTERRE</t>
  </si>
  <si>
    <t>GRD-F050</t>
  </si>
  <si>
    <t>GRD-F051</t>
  </si>
  <si>
    <t>Xelan</t>
  </si>
  <si>
    <t>GRD-F052</t>
  </si>
  <si>
    <t>ALPIQ SOLUTIONS France</t>
  </si>
  <si>
    <t>GRD-F053</t>
  </si>
  <si>
    <t>ILEK</t>
  </si>
  <si>
    <t>GRD-F054</t>
  </si>
  <si>
    <t>GRD-F055</t>
  </si>
  <si>
    <t>GRD-F056</t>
  </si>
  <si>
    <t>FTA</t>
  </si>
  <si>
    <t>FC000010</t>
  </si>
  <si>
    <t>FC000013</t>
  </si>
  <si>
    <t>FC000018</t>
  </si>
  <si>
    <t>FC000024</t>
  </si>
  <si>
    <t>FC000032</t>
  </si>
  <si>
    <t>FC000040</t>
  </si>
  <si>
    <t>FC000049</t>
  </si>
  <si>
    <t>FC000050</t>
  </si>
  <si>
    <t>FC000063</t>
  </si>
  <si>
    <t>FC000064</t>
  </si>
  <si>
    <t>FC000067</t>
  </si>
  <si>
    <t>FC000068</t>
  </si>
  <si>
    <t>FC000069</t>
  </si>
  <si>
    <t>FC000070</t>
  </si>
  <si>
    <t>FC000071</t>
  </si>
  <si>
    <t>FC000072</t>
  </si>
  <si>
    <t>FC000073</t>
  </si>
  <si>
    <t>FC000074</t>
  </si>
  <si>
    <t>FC000075</t>
  </si>
  <si>
    <t>FC000076</t>
  </si>
  <si>
    <t>FC000077</t>
  </si>
  <si>
    <t>FC000078</t>
  </si>
  <si>
    <t>FC000079</t>
  </si>
  <si>
    <t>FC000080</t>
  </si>
  <si>
    <t>FC000081</t>
  </si>
  <si>
    <t>FC000082</t>
  </si>
  <si>
    <t>FC000083</t>
  </si>
  <si>
    <t>FC000084</t>
  </si>
  <si>
    <t>FC000085</t>
  </si>
  <si>
    <t>FC000086</t>
  </si>
  <si>
    <t>FC000087</t>
  </si>
  <si>
    <t>FC000088</t>
  </si>
  <si>
    <t>FC000089</t>
  </si>
  <si>
    <t>FC000090</t>
  </si>
  <si>
    <t>FC000091</t>
  </si>
  <si>
    <t>FC000092</t>
  </si>
  <si>
    <t>FC000093</t>
  </si>
  <si>
    <t>FC000094</t>
  </si>
  <si>
    <t>FC000095</t>
  </si>
  <si>
    <t>FC000115</t>
  </si>
  <si>
    <t>FC000116</t>
  </si>
  <si>
    <t>FC000117</t>
  </si>
  <si>
    <t>FC000118</t>
  </si>
  <si>
    <t>FC000119</t>
  </si>
  <si>
    <t>FC000120</t>
  </si>
  <si>
    <t>FC000121</t>
  </si>
  <si>
    <t>FC000122</t>
  </si>
  <si>
    <t>FC000123</t>
  </si>
  <si>
    <t>FC000124</t>
  </si>
  <si>
    <t>FC000125</t>
  </si>
  <si>
    <t>FC000126</t>
  </si>
  <si>
    <t>FC000127</t>
  </si>
  <si>
    <t>FC000128</t>
  </si>
  <si>
    <t>FC000129</t>
  </si>
  <si>
    <t>FC000130</t>
  </si>
  <si>
    <t>FC000131</t>
  </si>
  <si>
    <t>FC000132</t>
  </si>
  <si>
    <t>FC000133</t>
  </si>
  <si>
    <t>FC000134</t>
  </si>
  <si>
    <t>FC000135</t>
  </si>
  <si>
    <t>FC000136</t>
  </si>
  <si>
    <t>FC000137</t>
  </si>
  <si>
    <t>FC000138</t>
  </si>
  <si>
    <t>FC000139</t>
  </si>
  <si>
    <t>FC000140</t>
  </si>
  <si>
    <t>FC000142</t>
  </si>
  <si>
    <t>FC000143</t>
  </si>
  <si>
    <t>FC000144</t>
  </si>
  <si>
    <t>FC000145</t>
  </si>
  <si>
    <t>FC000146</t>
  </si>
  <si>
    <t>FC000147</t>
  </si>
  <si>
    <t>FC000148</t>
  </si>
  <si>
    <t>FC000149</t>
  </si>
  <si>
    <t>FC000150</t>
  </si>
  <si>
    <t>FC000151</t>
  </si>
  <si>
    <t>FC000152</t>
  </si>
  <si>
    <t>FC000153</t>
  </si>
  <si>
    <t>FC000154</t>
  </si>
  <si>
    <t>FC000155</t>
  </si>
  <si>
    <t>FC000156</t>
  </si>
  <si>
    <t>FC000157</t>
  </si>
  <si>
    <t>FC000158</t>
  </si>
  <si>
    <t>FC000159</t>
  </si>
  <si>
    <t>FC000046</t>
  </si>
  <si>
    <t>FC000048</t>
  </si>
  <si>
    <t>FC000022</t>
  </si>
  <si>
    <t>FC000014</t>
  </si>
  <si>
    <t>FC000005</t>
  </si>
  <si>
    <t>FC000006</t>
  </si>
  <si>
    <t>FC000007</t>
  </si>
  <si>
    <t>FC000008</t>
  </si>
  <si>
    <t>FC000009</t>
  </si>
  <si>
    <t>FC000011</t>
  </si>
  <si>
    <t>FC000012</t>
  </si>
  <si>
    <t>FC000015</t>
  </si>
  <si>
    <t>FC000016</t>
  </si>
  <si>
    <t>FC000017</t>
  </si>
  <si>
    <t>FC000019</t>
  </si>
  <si>
    <t>FC000020</t>
  </si>
  <si>
    <t>FC000021</t>
  </si>
  <si>
    <t>FC000023</t>
  </si>
  <si>
    <t>FC000025</t>
  </si>
  <si>
    <t>FC000026</t>
  </si>
  <si>
    <t>FC000027</t>
  </si>
  <si>
    <t>FC000028</t>
  </si>
  <si>
    <t>FC000029</t>
  </si>
  <si>
    <t>FC000030</t>
  </si>
  <si>
    <t>FC000031</t>
  </si>
  <si>
    <t>FC000033</t>
  </si>
  <si>
    <t>FC000034</t>
  </si>
  <si>
    <t>FC000035</t>
  </si>
  <si>
    <t>FC000036</t>
  </si>
  <si>
    <t>FC000037</t>
  </si>
  <si>
    <t>FC000038</t>
  </si>
  <si>
    <t>FC000039</t>
  </si>
  <si>
    <t>FC000041</t>
  </si>
  <si>
    <t>FC000042</t>
  </si>
  <si>
    <t>FC000043</t>
  </si>
  <si>
    <t>FC000044</t>
  </si>
  <si>
    <t>FC000045</t>
  </si>
  <si>
    <t>FC000047</t>
  </si>
  <si>
    <t>FC000051</t>
  </si>
  <si>
    <t>FC000052</t>
  </si>
  <si>
    <t>FC000053</t>
  </si>
  <si>
    <t>FC000054</t>
  </si>
  <si>
    <t>FC000055</t>
  </si>
  <si>
    <t>FC000056</t>
  </si>
  <si>
    <t>FC000057</t>
  </si>
  <si>
    <t>FC000058</t>
  </si>
  <si>
    <t>FC000059</t>
  </si>
  <si>
    <t>FC000060</t>
  </si>
  <si>
    <t>FC000061</t>
  </si>
  <si>
    <t>FC000062</t>
  </si>
  <si>
    <t>FC000065</t>
  </si>
  <si>
    <t>FC000066</t>
  </si>
  <si>
    <t>FC000160</t>
  </si>
  <si>
    <t>FC000163</t>
  </si>
  <si>
    <t>FC000164</t>
  </si>
  <si>
    <t>FC000165</t>
  </si>
  <si>
    <t>FC000166</t>
  </si>
  <si>
    <t>FC000167</t>
  </si>
  <si>
    <t>FC000168</t>
  </si>
  <si>
    <t>FC000169</t>
  </si>
  <si>
    <t>FC000170</t>
  </si>
  <si>
    <t>FC000171</t>
  </si>
  <si>
    <t>FC000172</t>
  </si>
  <si>
    <t>FC000173</t>
  </si>
  <si>
    <t>FC000174</t>
  </si>
  <si>
    <t>FC000175</t>
  </si>
  <si>
    <t>FC000176</t>
  </si>
  <si>
    <t>REQUETE</t>
  </si>
  <si>
    <t>PROTOC-501</t>
  </si>
  <si>
    <t>01</t>
  </si>
  <si>
    <t>02</t>
  </si>
  <si>
    <t>06</t>
  </si>
  <si>
    <t>[TNS_SGE]</t>
  </si>
  <si>
    <t>[USER_SGE]</t>
  </si>
  <si>
    <t>ronlysge</t>
  </si>
  <si>
    <t>[PWD_SGE]</t>
  </si>
  <si>
    <t>resge2prd09</t>
  </si>
  <si>
    <t>[TNS_BC5]</t>
  </si>
  <si>
    <t>[USER_BC5]</t>
  </si>
  <si>
    <t>[PWD_BC5]</t>
  </si>
  <si>
    <t>rec5prd09</t>
  </si>
  <si>
    <t>[QUERY_PRM]</t>
  </si>
  <si>
    <t>[QUERY_BC5]</t>
  </si>
  <si>
    <t>CTR_DIFF</t>
  </si>
  <si>
    <t>CAD_DIFF</t>
  </si>
  <si>
    <t>FTA_DIFF</t>
  </si>
  <si>
    <t>PS_DIFF</t>
  </si>
  <si>
    <t>5015</t>
  </si>
  <si>
    <t>NB_CADRANS</t>
  </si>
  <si>
    <t>CADRANS</t>
  </si>
  <si>
    <t>5001</t>
  </si>
  <si>
    <t>5002</t>
  </si>
  <si>
    <t>5003</t>
  </si>
  <si>
    <t>5014</t>
  </si>
  <si>
    <t>5016</t>
  </si>
  <si>
    <t>5027</t>
  </si>
  <si>
    <t>5028</t>
  </si>
  <si>
    <t>5029</t>
  </si>
  <si>
    <t>5041</t>
  </si>
  <si>
    <t>5042</t>
  </si>
  <si>
    <t>5043</t>
  </si>
  <si>
    <t>5064</t>
  </si>
  <si>
    <t>5065</t>
  </si>
  <si>
    <t>5066</t>
  </si>
  <si>
    <t>5087</t>
  </si>
  <si>
    <t>5088</t>
  </si>
  <si>
    <t>5089</t>
  </si>
  <si>
    <t>5202</t>
  </si>
  <si>
    <t>5203</t>
  </si>
  <si>
    <t>5304</t>
  </si>
  <si>
    <t>5305</t>
  </si>
  <si>
    <t>5306</t>
  </si>
  <si>
    <t>5407</t>
  </si>
  <si>
    <t>5408</t>
  </si>
  <si>
    <t>5409</t>
  </si>
  <si>
    <t>6001</t>
  </si>
  <si>
    <t>6002</t>
  </si>
  <si>
    <t>6003</t>
  </si>
  <si>
    <t>6014</t>
  </si>
  <si>
    <t>6015</t>
  </si>
  <si>
    <t>6016</t>
  </si>
  <si>
    <t>6027</t>
  </si>
  <si>
    <t>6028</t>
  </si>
  <si>
    <t>6029</t>
  </si>
  <si>
    <t>6041</t>
  </si>
  <si>
    <t>6042</t>
  </si>
  <si>
    <t>6043</t>
  </si>
  <si>
    <t>6064</t>
  </si>
  <si>
    <t>6065</t>
  </si>
  <si>
    <t>6066</t>
  </si>
  <si>
    <t>6087</t>
  </si>
  <si>
    <t>6088</t>
  </si>
  <si>
    <t>6089</t>
  </si>
  <si>
    <t>6130</t>
  </si>
  <si>
    <t>6150</t>
  </si>
  <si>
    <t>6160</t>
  </si>
  <si>
    <t>6180</t>
  </si>
  <si>
    <t>6241</t>
  </si>
  <si>
    <t>6242</t>
  </si>
  <si>
    <t>6243</t>
  </si>
  <si>
    <t>6264</t>
  </si>
  <si>
    <t>6265</t>
  </si>
  <si>
    <t>6266</t>
  </si>
  <si>
    <t>6287</t>
  </si>
  <si>
    <t>6288</t>
  </si>
  <si>
    <t>6289</t>
  </si>
  <si>
    <t>6402</t>
  </si>
  <si>
    <t>6403</t>
  </si>
  <si>
    <t>6504</t>
  </si>
  <si>
    <t>6505</t>
  </si>
  <si>
    <t>6506</t>
  </si>
  <si>
    <t>6607</t>
  </si>
  <si>
    <t>6608</t>
  </si>
  <si>
    <t>6609</t>
  </si>
  <si>
    <t>6700</t>
  </si>
  <si>
    <t>6720</t>
  </si>
  <si>
    <t>6CAD</t>
  </si>
  <si>
    <t>BASE</t>
  </si>
  <si>
    <t>HP-HC</t>
  </si>
  <si>
    <t>Nom</t>
  </si>
  <si>
    <t>Région</t>
  </si>
  <si>
    <t>Bas-Rhin</t>
  </si>
  <si>
    <t>Alsace</t>
  </si>
  <si>
    <t>Haut-Rhin</t>
  </si>
  <si>
    <t>Dordogne</t>
  </si>
  <si>
    <t>Aquitaine</t>
  </si>
  <si>
    <t>Gironde</t>
  </si>
  <si>
    <t>Landes</t>
  </si>
  <si>
    <t>Lot-et-Garonne</t>
  </si>
  <si>
    <t>Pyrénées-Atlantiques</t>
  </si>
  <si>
    <t>Allier</t>
  </si>
  <si>
    <t>Cantal</t>
  </si>
  <si>
    <t>Haute-Loire</t>
  </si>
  <si>
    <t>Puy-de-Dôme</t>
  </si>
  <si>
    <t>Calvados</t>
  </si>
  <si>
    <t>Basse-Normandie</t>
  </si>
  <si>
    <t>Orne</t>
  </si>
  <si>
    <t>Côte d'Or</t>
  </si>
  <si>
    <t>Nièvre</t>
  </si>
  <si>
    <t>Saône-et-Loire</t>
  </si>
  <si>
    <t>Yonne</t>
  </si>
  <si>
    <t>Côtes d'Armor</t>
  </si>
  <si>
    <t>Finistère</t>
  </si>
  <si>
    <t>Ille-et-Vilaine</t>
  </si>
  <si>
    <t>Morbihan</t>
  </si>
  <si>
    <t>Cher</t>
  </si>
  <si>
    <t>Eure-et-Loir</t>
  </si>
  <si>
    <t>Indre</t>
  </si>
  <si>
    <t>Indre-et-Loire</t>
  </si>
  <si>
    <t>Loiret</t>
  </si>
  <si>
    <t>Loir-et-Cher</t>
  </si>
  <si>
    <t>Ardennes</t>
  </si>
  <si>
    <t>Champagne</t>
  </si>
  <si>
    <t>Aube</t>
  </si>
  <si>
    <t>Haute-Marne</t>
  </si>
  <si>
    <t>Marne</t>
  </si>
  <si>
    <t>2A</t>
  </si>
  <si>
    <t>Corse du Sud</t>
  </si>
  <si>
    <t>Corse</t>
  </si>
  <si>
    <t>2B</t>
  </si>
  <si>
    <t>Haute-Corse</t>
  </si>
  <si>
    <t>Doubs</t>
  </si>
  <si>
    <t>Franche-Comté</t>
  </si>
  <si>
    <t>Haute-Saône</t>
  </si>
  <si>
    <t>Jura</t>
  </si>
  <si>
    <t>Territoire-de-Belfort</t>
  </si>
  <si>
    <t>Eure</t>
  </si>
  <si>
    <t>Haute-Normandie</t>
  </si>
  <si>
    <t>Seine-Maritime</t>
  </si>
  <si>
    <t>Essonne</t>
  </si>
  <si>
    <t>Ile-de-France</t>
  </si>
  <si>
    <t>Hauts-de-Seine</t>
  </si>
  <si>
    <t>Seine-et-Marne</t>
  </si>
  <si>
    <t>Seine-St-Denis</t>
  </si>
  <si>
    <t>Val-de-Marne</t>
  </si>
  <si>
    <t>Val-d'Oise</t>
  </si>
  <si>
    <t>Yvelines</t>
  </si>
  <si>
    <t>Aude</t>
  </si>
  <si>
    <t>Languedoc</t>
  </si>
  <si>
    <t>Gard</t>
  </si>
  <si>
    <t>Hérault</t>
  </si>
  <si>
    <t>Lozère</t>
  </si>
  <si>
    <t>Pyrénées-Orientales</t>
  </si>
  <si>
    <t>Corrèze</t>
  </si>
  <si>
    <t>Limousin</t>
  </si>
  <si>
    <t>Creuse</t>
  </si>
  <si>
    <t>Haute-Vienne</t>
  </si>
  <si>
    <t>Meurthe-et-Moselle</t>
  </si>
  <si>
    <t>Meuse</t>
  </si>
  <si>
    <t>Moselle</t>
  </si>
  <si>
    <t>Vosges</t>
  </si>
  <si>
    <t>Ariège</t>
  </si>
  <si>
    <t>Midi-Pyrénées</t>
  </si>
  <si>
    <t>Aveyron</t>
  </si>
  <si>
    <t>Gers</t>
  </si>
  <si>
    <t>Haute-Garonne</t>
  </si>
  <si>
    <t>Hautes-Pyrénées</t>
  </si>
  <si>
    <t>Lot</t>
  </si>
  <si>
    <t>Tarn</t>
  </si>
  <si>
    <t>Tarn-et-Garonne</t>
  </si>
  <si>
    <t>Nord</t>
  </si>
  <si>
    <t>Pas-de-Calais</t>
  </si>
  <si>
    <t>Manche</t>
  </si>
  <si>
    <t>Loire-Atlantique</t>
  </si>
  <si>
    <t>Pays-de-la-Loire</t>
  </si>
  <si>
    <t>Maine-et-Loire</t>
  </si>
  <si>
    <t>Mayenne</t>
  </si>
  <si>
    <t>Sarthe</t>
  </si>
  <si>
    <t>Vendée</t>
  </si>
  <si>
    <t>Aisne</t>
  </si>
  <si>
    <t>Oise</t>
  </si>
  <si>
    <t>Somme</t>
  </si>
  <si>
    <t>Charente</t>
  </si>
  <si>
    <t>Poitou-Charente</t>
  </si>
  <si>
    <t>Charente Maritime</t>
  </si>
  <si>
    <t>Deux-Sèvres</t>
  </si>
  <si>
    <t>Vienne</t>
  </si>
  <si>
    <t>Alpes de Haute-Provence</t>
  </si>
  <si>
    <t>Provence-Alpes-Côte d'Azur</t>
  </si>
  <si>
    <t>Alpes-Maritimes</t>
  </si>
  <si>
    <t>Bouches du Rhône</t>
  </si>
  <si>
    <t>Hautes-Alpes</t>
  </si>
  <si>
    <t>Var</t>
  </si>
  <si>
    <t>Vaucluse</t>
  </si>
  <si>
    <t>Ain</t>
  </si>
  <si>
    <t>Rhône-Alpes</t>
  </si>
  <si>
    <t>Ardèche</t>
  </si>
  <si>
    <t>Drôme</t>
  </si>
  <si>
    <t>Haute-Savoie</t>
  </si>
  <si>
    <t>Isère</t>
  </si>
  <si>
    <t>Loire</t>
  </si>
  <si>
    <t>Rhône</t>
  </si>
  <si>
    <t>Savoie</t>
  </si>
  <si>
    <t>SELECT T_TAR as TARIF_I FROM
(
  SELECT EDI_D_CREATION, T_TAR FROM 
  (
    SELECT EDI_D_CREATION, T_TAR
    FROM C5.CE12
    WHERE T_IDPDL = '@@PDL@@'
      UNION
    SELECT EDI_D_CREATION, T_TAR
    FROM C5.CE12_ARCHIVE
    WHERE T_IDPDL = '@@PDL@@'
  )
  ORDER BY 1 DESC, 2
)
WHERE ROWNUM &lt;= 1</t>
  </si>
  <si>
    <t>[TARIF]</t>
  </si>
  <si>
    <t>[CALENDRIER]</t>
  </si>
  <si>
    <t>CAD_I</t>
  </si>
  <si>
    <t>Contrat</t>
  </si>
  <si>
    <t>Numéro
[NO]</t>
  </si>
  <si>
    <t>Formule variabiliée</t>
  </si>
  <si>
    <t>Formule</t>
  </si>
  <si>
    <t>Champ
[FIELD]</t>
  </si>
  <si>
    <t>03</t>
  </si>
  <si>
    <t>04</t>
  </si>
  <si>
    <t>05</t>
  </si>
  <si>
    <t>07</t>
  </si>
  <si>
    <t>08</t>
  </si>
  <si>
    <t>09</t>
  </si>
  <si>
    <t>[CTR_C_IDX]</t>
  </si>
  <si>
    <t>Fournisseur
[FRN]</t>
  </si>
  <si>
    <t>(Inconnu)</t>
  </si>
  <si>
    <t>GRD-FXXX</t>
  </si>
  <si>
    <t>=NOT(EXACT(RC[|PS_I|],RC[|PS_C|]))</t>
  </si>
  <si>
    <t>TELEOP</t>
  </si>
  <si>
    <t xml:space="preserve">
[CTR_C]</t>
  </si>
  <si>
    <t>Valeurs</t>
  </si>
  <si>
    <t>Total</t>
  </si>
  <si>
    <t>SITE</t>
  </si>
  <si>
    <t>Interventions sur site</t>
  </si>
  <si>
    <t>SI et mode de réalisation</t>
  </si>
  <si>
    <t>Synthèse</t>
  </si>
  <si>
    <t>=RC[-1]&gt;0</t>
  </si>
  <si>
    <t>=RC[|NIV_SRV|]&gt;0</t>
  </si>
  <si>
    <t>[PCT_TO_SITE]</t>
  </si>
  <si>
    <t>[PCT_IND]</t>
  </si>
  <si>
    <t>[FORMAT]</t>
  </si>
  <si>
    <t>PDL</t>
  </si>
  <si>
    <t>@</t>
  </si>
  <si>
    <t>CAD_C</t>
  </si>
  <si>
    <t>FTA_C</t>
  </si>
  <si>
    <t>PS_C</t>
  </si>
  <si>
    <t>ETAT_CTR</t>
  </si>
  <si>
    <t>CTR_I</t>
  </si>
  <si>
    <t>TARIF_I</t>
  </si>
  <si>
    <t>CAD_TAR_I</t>
  </si>
  <si>
    <t>FTA_TAR_I</t>
  </si>
  <si>
    <t>CAL_I</t>
  </si>
  <si>
    <t>FTA_I</t>
  </si>
  <si>
    <t>PS_I</t>
  </si>
  <si>
    <t>General</t>
  </si>
  <si>
    <t>CODE_POSTAL</t>
  </si>
  <si>
    <t>DEPARTEMENT</t>
  </si>
  <si>
    <t>REGION</t>
  </si>
  <si>
    <t>NIV_SRV</t>
  </si>
  <si>
    <t>PRS</t>
  </si>
  <si>
    <t>MODE_REAL</t>
  </si>
  <si>
    <t>IND</t>
  </si>
  <si>
    <t>SI, mode de réal. et prestations</t>
  </si>
  <si>
    <t>Estimation des traitements manuels et interventions sur site par région</t>
  </si>
  <si>
    <t>Téléopérations par région</t>
  </si>
  <si>
    <t>ENGIE</t>
  </si>
  <si>
    <t>=NOT(EXACT(RC[|CAD_I|],RC[|CAD_C|]))</t>
  </si>
  <si>
    <t>=NOT(EXACT(RC[|FTA_I|],RC[|FTA_C|]))</t>
  </si>
  <si>
    <t>=NOT(EXACT(RC[|CTR_I|],CTR_C))</t>
  </si>
  <si>
    <t>Traitements manuels</t>
  </si>
  <si>
    <t>FC000220</t>
  </si>
  <si>
    <t>Contexte</t>
  </si>
  <si>
    <t>AUTRE</t>
  </si>
  <si>
    <t>EP</t>
  </si>
  <si>
    <t>PLAT</t>
  </si>
  <si>
    <t>SELECT DISTINCT
cta.CTA_N_CODE_TARIF as TARIF, sco.SCO_C_CODE as CADRANS
, DECODE(fta.FTA_C_CODE, 'CU-ST', 'CU', 'MU-DT', 'MU', 'LU', 'LU') as FTA
, cut.CUT_C_CODE as CONTEXTE
FROM DISCO.CODE_TARIF cta
JOIN DISCO.STRUCTURE_COMPTAGE sco ON cta.SCO_ID = sco.SCO_ID
JOIN DISCO.FORMULE_TARIFAIRE fta ON cta.FTA_ID = fta.FTA_ID
LEFT JOIN DISCO.CONTEXTE_UTILISATION cut ON cta.CUT_ID = cut.CUT_ID
WHERE 1=1
AND cta.CTA_B_ACTIF = 'O'
ORDER BY cta.CTA_N_CODE_TARIF
;</t>
  </si>
  <si>
    <t>CTX_TAR_I</t>
  </si>
  <si>
    <t>CTX_C</t>
  </si>
  <si>
    <t>CTX_I</t>
  </si>
  <si>
    <t>CTX_DIFF</t>
  </si>
  <si>
    <t>=NOT(EXACT(RC[|CTX_I|],RC[|CTX_C|]))</t>
  </si>
  <si>
    <t>CTX_PRM_I</t>
  </si>
  <si>
    <t>FC000096</t>
  </si>
  <si>
    <t>FC000097</t>
  </si>
  <si>
    <t>FC000098</t>
  </si>
  <si>
    <t>FC000099</t>
  </si>
  <si>
    <t>FC000100</t>
  </si>
  <si>
    <t>FC000101</t>
  </si>
  <si>
    <t>FC000102</t>
  </si>
  <si>
    <t>FC000103</t>
  </si>
  <si>
    <t>FC000104</t>
  </si>
  <si>
    <t>FC000105</t>
  </si>
  <si>
    <t>FC000106</t>
  </si>
  <si>
    <t>FC000107</t>
  </si>
  <si>
    <t>FC000108</t>
  </si>
  <si>
    <t>FC000109</t>
  </si>
  <si>
    <t>FC000110</t>
  </si>
  <si>
    <t>FC000111</t>
  </si>
  <si>
    <t>FC000112</t>
  </si>
  <si>
    <t>FC000113</t>
  </si>
  <si>
    <t>FC000114</t>
  </si>
  <si>
    <t>FC000161</t>
  </si>
  <si>
    <t>FC000162</t>
  </si>
  <si>
    <t>FC000177</t>
  </si>
  <si>
    <t>FC000178</t>
  </si>
  <si>
    <t>FC000180</t>
  </si>
  <si>
    <t>FC000181</t>
  </si>
  <si>
    <t>FC000182</t>
  </si>
  <si>
    <t>FC000183</t>
  </si>
  <si>
    <t>FC000184</t>
  </si>
  <si>
    <t>FC000185</t>
  </si>
  <si>
    <t>FC000186</t>
  </si>
  <si>
    <t>FC000187</t>
  </si>
  <si>
    <t>FC000188</t>
  </si>
  <si>
    <t>FC000189</t>
  </si>
  <si>
    <t>FC000190</t>
  </si>
  <si>
    <t>FC000191</t>
  </si>
  <si>
    <t>FC000192</t>
  </si>
  <si>
    <t>FC000193</t>
  </si>
  <si>
    <t>FC000194</t>
  </si>
  <si>
    <t>FC000195</t>
  </si>
  <si>
    <t>FC000196</t>
  </si>
  <si>
    <t>FC000197</t>
  </si>
  <si>
    <t>FC000198</t>
  </si>
  <si>
    <t>FC000199</t>
  </si>
  <si>
    <t>FC000200</t>
  </si>
  <si>
    <t>FC000201</t>
  </si>
  <si>
    <t>FC000202</t>
  </si>
  <si>
    <t>FC000203</t>
  </si>
  <si>
    <t>FC000204</t>
  </si>
  <si>
    <t>FC000205</t>
  </si>
  <si>
    <t>FC000206</t>
  </si>
  <si>
    <t>FC000207</t>
  </si>
  <si>
    <t>FC000208</t>
  </si>
  <si>
    <t>FC000209</t>
  </si>
  <si>
    <t>FC000210</t>
  </si>
  <si>
    <t>FC000211</t>
  </si>
  <si>
    <t>FC000212</t>
  </si>
  <si>
    <t>FC000213</t>
  </si>
  <si>
    <t>FC000214</t>
  </si>
  <si>
    <t>FC000216</t>
  </si>
  <si>
    <t>FC000217</t>
  </si>
  <si>
    <t>FC000218</t>
  </si>
  <si>
    <t>FC000219</t>
  </si>
  <si>
    <t>FC000222</t>
  </si>
  <si>
    <t>FC000223</t>
  </si>
  <si>
    <t>FC000224</t>
  </si>
  <si>
    <t>FC000225</t>
  </si>
  <si>
    <t>FC000521</t>
  </si>
  <si>
    <t>FC004761</t>
  </si>
  <si>
    <t>FC004762</t>
  </si>
  <si>
    <t>FC004763</t>
  </si>
  <si>
    <t>FC005481</t>
  </si>
  <si>
    <t>FC005482</t>
  </si>
  <si>
    <t>FC005483</t>
  </si>
  <si>
    <t>FC005501</t>
  </si>
  <si>
    <t>FC005502</t>
  </si>
  <si>
    <t>FC005503</t>
  </si>
  <si>
    <t>FC005681</t>
  </si>
  <si>
    <t>FC005682</t>
  </si>
  <si>
    <t>FC005683</t>
  </si>
  <si>
    <t>FC006141</t>
  </si>
  <si>
    <t>FC006142</t>
  </si>
  <si>
    <t>FC006143</t>
  </si>
  <si>
    <t>FC006883</t>
  </si>
  <si>
    <t>FC006884</t>
  </si>
  <si>
    <t>FC006885</t>
  </si>
  <si>
    <t>FC007203</t>
  </si>
  <si>
    <t>FC007204</t>
  </si>
  <si>
    <t>FC007205</t>
  </si>
  <si>
    <t>FC007524</t>
  </si>
  <si>
    <t>FC007525</t>
  </si>
  <si>
    <t>FC007526</t>
  </si>
  <si>
    <t>FC008124</t>
  </si>
  <si>
    <t>FC008125</t>
  </si>
  <si>
    <t>FC008126</t>
  </si>
  <si>
    <t>FC008184</t>
  </si>
  <si>
    <t>FC008185</t>
  </si>
  <si>
    <t>FC008186</t>
  </si>
  <si>
    <t>FC008504</t>
  </si>
  <si>
    <t>FC008505</t>
  </si>
  <si>
    <t>FC008506</t>
  </si>
  <si>
    <t>FC008564</t>
  </si>
  <si>
    <t>FC008565</t>
  </si>
  <si>
    <t>FC008566</t>
  </si>
  <si>
    <t>FC008964</t>
  </si>
  <si>
    <t>FC008965</t>
  </si>
  <si>
    <t>FC008966</t>
  </si>
  <si>
    <t>FC009004</t>
  </si>
  <si>
    <t>FC009384</t>
  </si>
  <si>
    <t>FC009385</t>
  </si>
  <si>
    <t>FC009386</t>
  </si>
  <si>
    <t>FC009444</t>
  </si>
  <si>
    <t>FC009445</t>
  </si>
  <si>
    <t>FC009446</t>
  </si>
  <si>
    <t>FC009484</t>
  </si>
  <si>
    <t>FC009485</t>
  </si>
  <si>
    <t>FC009486</t>
  </si>
  <si>
    <t>FC009724</t>
  </si>
  <si>
    <t>FC009725</t>
  </si>
  <si>
    <t>FC009726</t>
  </si>
  <si>
    <t>FC009727</t>
  </si>
  <si>
    <t>FC009844</t>
  </si>
  <si>
    <t>FC009845</t>
  </si>
  <si>
    <t>FC009846</t>
  </si>
  <si>
    <t>FC009847</t>
  </si>
  <si>
    <t>FC009848</t>
  </si>
  <si>
    <t>FC009849</t>
  </si>
  <si>
    <t>FC010565</t>
  </si>
  <si>
    <t>FC010566</t>
  </si>
  <si>
    <t>FC010567</t>
  </si>
  <si>
    <t>FC010845</t>
  </si>
  <si>
    <t>FC010905</t>
  </si>
  <si>
    <t>FC010906</t>
  </si>
  <si>
    <t>FC010907</t>
  </si>
  <si>
    <t>FC011167</t>
  </si>
  <si>
    <t>FC011168</t>
  </si>
  <si>
    <t>FC011169</t>
  </si>
  <si>
    <t>FC011447</t>
  </si>
  <si>
    <t>FC011448</t>
  </si>
  <si>
    <t>FC011449</t>
  </si>
  <si>
    <t>FC011827</t>
  </si>
  <si>
    <t>FC012047</t>
  </si>
  <si>
    <t>FC012048</t>
  </si>
  <si>
    <t>FC012049</t>
  </si>
  <si>
    <t>FC013309</t>
  </si>
  <si>
    <t>FC013310</t>
  </si>
  <si>
    <t>FC013311</t>
  </si>
  <si>
    <t>FC014070</t>
  </si>
  <si>
    <t>FC014590</t>
  </si>
  <si>
    <t>FC014591</t>
  </si>
  <si>
    <t>FC014592</t>
  </si>
  <si>
    <t>FC015010</t>
  </si>
  <si>
    <t>FC015011</t>
  </si>
  <si>
    <t>FC015012</t>
  </si>
  <si>
    <t>FC015353</t>
  </si>
  <si>
    <t>FC015354</t>
  </si>
  <si>
    <t>FC015355</t>
  </si>
  <si>
    <t>FC999998</t>
  </si>
  <si>
    <t>FC999999</t>
  </si>
  <si>
    <t>FP000001</t>
  </si>
  <si>
    <t>FP001261</t>
  </si>
  <si>
    <t>FP001262</t>
  </si>
  <si>
    <t>FP002601</t>
  </si>
  <si>
    <t>FP004701</t>
  </si>
  <si>
    <t>FP005001</t>
  </si>
  <si>
    <t>FP005021</t>
  </si>
  <si>
    <t>FP007644</t>
  </si>
  <si>
    <t>FP012789</t>
  </si>
  <si>
    <t>FP012790</t>
  </si>
  <si>
    <t>FP012791</t>
  </si>
  <si>
    <t>FP012792</t>
  </si>
  <si>
    <t>FP012793</t>
  </si>
  <si>
    <t>FP012794</t>
  </si>
  <si>
    <t>FP013890</t>
  </si>
  <si>
    <t>FP014130</t>
  </si>
  <si>
    <t>SELECT DISTINCT cal.CAL_CODE, MAX(cTemp.CTF_NUMERO_CADRAN) as NB_CADRANS
FROM SGEL_SCH.T_CALENDRIER cal
JOIN SGEL_SCH.T_STRUCTURE_TEMPORELLE sTemp ON sTemp.STT_Id = cal.STT_ID
LEFT JOIN SGEL_SCH.T_CLASSE_TEMPORELLE cTemp ON cTemp.CAL_ID = cal.CAL_ID
WHERE 1=1
AND cal.CAL_VALIDE = '1'
AND sTemp.STT_DOM_TENS_AUT_CODE_1 = 'BTINF'
AND cal.CAL_CATEGORIE = 'CAF'
GROUP BY cal.CAL_CODE
ORDER BY cal.CAL_CODE</t>
  </si>
  <si>
    <t>=TEXT(IF(RC[4]="DISCO", RC[-6], RC[-2]),"")</t>
  </si>
  <si>
    <t>Estimation des interventions sur site par région</t>
  </si>
  <si>
    <t>COMPTEUR</t>
  </si>
  <si>
    <t>=NOT(EXACT(RC[-18],CTR_C))</t>
  </si>
  <si>
    <t>=NOT(EXACT(RC[-13],RC[-24]))</t>
  </si>
  <si>
    <t>=NOT(EXACT(RC[-11],RC[-24]))</t>
  </si>
  <si>
    <t>[COL_EXT]</t>
  </si>
  <si>
    <t>SELECT prm.PRM_SC_ETAT_CONTRACTUEL_CODE as ETAT_CTR
, CASE WHEN situ.SCN_CF_NUMERO_CONTRAT = 'GRD-F003' AND situ.SCN_ST_TYPE_OFFRE_CODE = 'OH' THEN 'PROTOC-501' ELSE prm.PRM_DG_NUMERO_CONTRAT END as CTR_I
, situ.SCN_ST_CODE_TARIF_ACH_DISCO as TARIF_I
, situ.SCN_GF_CALENDRIER_FOURN_CODE as CAL_I
, DECODE(situ.SCN_ST_FORM_TARIF_ACHEMIN,
'BTINFCUST', 'CU',
'BTINFMUDT', 'MU',
'BTINFLU', 'LU',
'BTINFCU4', 'CU4',
'BTINFMU4', 'MU4'
) as FTA_I
, DECODE(situ.SCN_ST_CONTEXTE_UTIL_CODE,
    'AUSA', 'AUTRE',
    'ECPU', 'EP',
    'UPIN', 'PLAT'
) as CTX_PRM_I
, situ.SCN_ST_P_SOUSCRITE_MAX_V as PS_I
, prm.PRM_AI_CODE_POSTAL as CODE_POSTAL
, DECODE(situ.SCN_APP_APPLICATION_CODE,
'QETGC', 'DISCO',
situ.SCN_APP_APPLICATION_CODE
) as SI_GESTION
, prm.PRM_DG_NIV_OUV_SERV as NIV_SRV
, DECODE(scm.SCM_DC_STRUCTURE_COMPTAGE_CODE,
'EMC', 'CBE',
'AMM', 'LINKY',
scm.SCM_DC_STRUCTURE_COMPTAGE_CODE) as COMPTEUR
FROM SGEL_PRM_SCH.T_PRM prm
LEFT JOIN SGEL_PRM_SCH.T_SITUATION_CONTRACTUELLE situ ON prm.SCN_ID = situ.SCN_ID
LEFT JOIN SGEL_PRM_SCH.T_SITUATION_COMPTAGE scm ON scm.SCM_ID = prm.SCM_ID
WHERE 1 = 1
AND prm.PRM_ID = '@@PDL@@'</t>
  </si>
  <si>
    <t>=TEXT(IF(RC[|SI_GESTION|]="DISCO", RC[|CTX_TAR_I|], RC[|CTX_PRM_I|]),""")</t>
  </si>
  <si>
    <t>SI_GESTION</t>
  </si>
  <si>
    <t>[HIDE_EXT]</t>
  </si>
  <si>
    <t>GRD-F074</t>
  </si>
  <si>
    <t>Étiquettes de colonnes</t>
  </si>
  <si>
    <t>Nombre de PDL
[PDL]</t>
  </si>
  <si>
    <t>ACTELIOS_OLD</t>
  </si>
  <si>
    <t>GRD-F057</t>
  </si>
  <si>
    <t>AKUO MARKET FRANCE</t>
  </si>
  <si>
    <t>GRD-F084</t>
  </si>
  <si>
    <t>ALA ENERGY</t>
  </si>
  <si>
    <t>GRD-F085</t>
  </si>
  <si>
    <t>ALTERELEC</t>
  </si>
  <si>
    <t>GRD-F026</t>
  </si>
  <si>
    <t>ANTARGAZ_-_FINAGAZ</t>
  </si>
  <si>
    <t>GRD-F089</t>
  </si>
  <si>
    <t>AXPO SOLUTION AG</t>
  </si>
  <si>
    <t>BCM Energy SAS</t>
  </si>
  <si>
    <t>GRD-F061</t>
  </si>
  <si>
    <t>Budget Telecom</t>
  </si>
  <si>
    <t>GRD-F058</t>
  </si>
  <si>
    <t>Bulb France</t>
  </si>
  <si>
    <t>GRD-F094</t>
  </si>
  <si>
    <t>Dunelys</t>
  </si>
  <si>
    <t>GRD-F009</t>
  </si>
  <si>
    <t>EBM SYNERGIE</t>
  </si>
  <si>
    <t>GRD-F025</t>
  </si>
  <si>
    <t>EDF Commerce</t>
  </si>
  <si>
    <t>EDF Historique</t>
  </si>
  <si>
    <t>EDM</t>
  </si>
  <si>
    <t>GRD-F019</t>
  </si>
  <si>
    <t>EDSB l Agence</t>
  </si>
  <si>
    <t>ELECOCITE</t>
  </si>
  <si>
    <t>GRD-F078</t>
  </si>
  <si>
    <t>Electrabel</t>
  </si>
  <si>
    <t>GRD-F010</t>
  </si>
  <si>
    <t>ENARGIA</t>
  </si>
  <si>
    <t>GRD-F091</t>
  </si>
  <si>
    <t>Endesa Energia</t>
  </si>
  <si>
    <t>GRD-F002</t>
  </si>
  <si>
    <t>Enovos Energie</t>
  </si>
  <si>
    <t>GRD-F097</t>
  </si>
  <si>
    <t>e-PANGO</t>
  </si>
  <si>
    <t>GRD-F069</t>
  </si>
  <si>
    <t>GAZ DE BORDEAUX</t>
  </si>
  <si>
    <t>GRD-F081</t>
  </si>
  <si>
    <t>GAZ DE PARIS</t>
  </si>
  <si>
    <t>GRD-F066</t>
  </si>
  <si>
    <t>Gazel Energie Solutions</t>
  </si>
  <si>
    <t>GAZENA SAS</t>
  </si>
  <si>
    <t>GEG</t>
  </si>
  <si>
    <t>GRD-F005</t>
  </si>
  <si>
    <t>Green Yellow Energie Pro</t>
  </si>
  <si>
    <t>GRD-F096</t>
  </si>
  <si>
    <t>Green Yellow Vente d'Energie</t>
  </si>
  <si>
    <t>GRD-F062</t>
  </si>
  <si>
    <t>GRENELLE</t>
  </si>
  <si>
    <t>GRD-F988</t>
  </si>
  <si>
    <t>IBERDROLA ENERGIE FRANCE</t>
  </si>
  <si>
    <t>GRD-F068</t>
  </si>
  <si>
    <t>JOUL_ekWateur</t>
  </si>
  <si>
    <t>MEGA ENERGIE</t>
  </si>
  <si>
    <t>GRD-F076</t>
  </si>
  <si>
    <t>NEXTEARTH</t>
  </si>
  <si>
    <t>GRD-F075</t>
  </si>
  <si>
    <t>OHM ENERGIE</t>
  </si>
  <si>
    <t>GRD-F079</t>
  </si>
  <si>
    <t>Opera Energie</t>
  </si>
  <si>
    <t>GRD-F065</t>
  </si>
  <si>
    <t>Ouest Energie</t>
  </si>
  <si>
    <t>GRD-F012a</t>
  </si>
  <si>
    <t>GRD-F012</t>
  </si>
  <si>
    <t>OUI ENERGY</t>
  </si>
  <si>
    <t>GRD-F063</t>
  </si>
  <si>
    <t>OVO Energy</t>
  </si>
  <si>
    <t>GRD-F090</t>
  </si>
  <si>
    <t>Plum Energie</t>
  </si>
  <si>
    <t>GRD-F071</t>
  </si>
  <si>
    <t>PLUM ENERGIE - Particuliers</t>
  </si>
  <si>
    <t>GRD-F080</t>
  </si>
  <si>
    <t>PLUM PRO</t>
  </si>
  <si>
    <t>GRD-F095</t>
  </si>
  <si>
    <t>Primeo Energie France</t>
  </si>
  <si>
    <t>Primeo Energie Grands Comptes</t>
  </si>
  <si>
    <t>Primeo Energie Solutions</t>
  </si>
  <si>
    <t>S.A.V.E</t>
  </si>
  <si>
    <t>GRD-F070</t>
  </si>
  <si>
    <t>SELFEE</t>
  </si>
  <si>
    <t>GRD-F092</t>
  </si>
  <si>
    <t>SELIA 1</t>
  </si>
  <si>
    <t>SELIA 2</t>
  </si>
  <si>
    <t>GRD-F072</t>
  </si>
  <si>
    <t>SICAE de La Somme et du Cambraisis</t>
  </si>
  <si>
    <t>GRD-F014</t>
  </si>
  <si>
    <t>Sigexy</t>
  </si>
  <si>
    <t>GRD-F017</t>
  </si>
  <si>
    <t>SIPLEC</t>
  </si>
  <si>
    <t>Site CARD sans RE</t>
  </si>
  <si>
    <t>GRD-F999</t>
  </si>
  <si>
    <t>SOLVAY ENERGY SERVICES</t>
  </si>
  <si>
    <t>GRD-F064</t>
  </si>
  <si>
    <t>Sorégies</t>
  </si>
  <si>
    <t>GRD-F008</t>
  </si>
  <si>
    <t>SOWATT SAS</t>
  </si>
  <si>
    <t>SOWEE</t>
  </si>
  <si>
    <t>GRD-F067</t>
  </si>
  <si>
    <t>SYNELVA</t>
  </si>
  <si>
    <t>TENERGIE DISTRIBUTION</t>
  </si>
  <si>
    <t>GRD-F083</t>
  </si>
  <si>
    <t>TOTAL DIRECT ENERGIE</t>
  </si>
  <si>
    <t>Total Spring France SAS</t>
  </si>
  <si>
    <t>UEM</t>
  </si>
  <si>
    <t>GRD-F011</t>
  </si>
  <si>
    <t>Union des Producteurs Locaux d Electricite</t>
  </si>
  <si>
    <t>URBAN SOLAR ENERGY</t>
  </si>
  <si>
    <t>GRD-F073</t>
  </si>
  <si>
    <t>VALORIS ENERGIE</t>
  </si>
  <si>
    <t>GRD-F088</t>
  </si>
  <si>
    <t>VATTENFALL_EN</t>
  </si>
  <si>
    <t>GRD-F082</t>
  </si>
  <si>
    <t>Volterres</t>
  </si>
  <si>
    <t>GRD-F060</t>
  </si>
  <si>
    <t>Wekiwi</t>
  </si>
  <si>
    <t>GRD-F086</t>
  </si>
  <si>
    <t>YOU ENERGY</t>
  </si>
  <si>
    <t>GRD-F077</t>
  </si>
  <si>
    <t>SELECT DISTINCT acm.ACM_T_LIB as FOURNISSEUR, ctr.CTR_T_NUM as CONTRAT
FROM CONTRAT.ASS_CTR_TAM_ACM acta
JOIN CONTRAT.ACTEUR_MARCHE acm ON acm.ACM_ID = acta.ACM_ID
JOIN CONTRAT.TYPE_ACTEUR tam ON tam.TAM_ID = acta.TAM_ID
JOIN CONTRAT.CONTRAT ctr ON ctr.CTR_ID = acta.CTR_ID
WHERE 1=1
AND tam.TAM_C_CODE LIKE 'F%'
AND (ctr.CTR_T_NUM LIKE 'GRD%' OR ctr.CTR_T_NUM LIKE 'PROTOC%')
ORDER BY acm.ACM_T_LIB</t>
  </si>
  <si>
    <r>
      <rPr>
        <sz val="11"/>
        <color theme="0"/>
        <rFont val="Calibri"/>
        <family val="2"/>
        <scheme val="minor"/>
      </rPr>
      <t>Conditions</t>
    </r>
    <r>
      <rPr>
        <b/>
        <sz val="11"/>
        <color theme="0"/>
        <rFont val="Calibri"/>
        <family val="2"/>
        <scheme val="minor"/>
      </rPr>
      <t xml:space="preserve"> cibles</t>
    </r>
  </si>
  <si>
    <t>PDL
[PDL]</t>
  </si>
  <si>
    <t>Nb. Cad
[CAD_C]</t>
  </si>
  <si>
    <t>FTA
[FTA_C]</t>
  </si>
  <si>
    <t>Contexte
[CTX_C]</t>
  </si>
  <si>
    <t>PS
[PS_C]</t>
  </si>
  <si>
    <t>Etat CTR
[ETAT_CTR]</t>
  </si>
  <si>
    <t>Contrat
[CTR_I]</t>
  </si>
  <si>
    <t>Tarif
[TARIF_I]</t>
  </si>
  <si>
    <t>Nb. Cad
[CAD_TAR_I]</t>
  </si>
  <si>
    <t>FTA
[FTA_TAR_I]</t>
  </si>
  <si>
    <t>Contexte
[CTX_TAR_I]</t>
  </si>
  <si>
    <t xml:space="preserve">Calendrier
[CAL_I]
</t>
  </si>
  <si>
    <t>Nb. Cad
[CAD_I]</t>
  </si>
  <si>
    <t>FTA
[FTA_I]</t>
  </si>
  <si>
    <t>Contexte
[CTX_PRM_I]</t>
  </si>
  <si>
    <t>PS
[PS_I]</t>
  </si>
  <si>
    <t>Contexte
[CTX_I]</t>
  </si>
  <si>
    <t>Code postal
[CODE_POSTAL]</t>
  </si>
  <si>
    <t>Département
[DEPARTEMENT]</t>
  </si>
  <si>
    <t>Région
[REGION]</t>
  </si>
  <si>
    <t>SI gestion
[SI_GESTION]</t>
  </si>
  <si>
    <t>Compteur
[COMPTEUR]</t>
  </si>
  <si>
    <t>Niveau de srv.
[NIV_SRV]</t>
  </si>
  <si>
    <t>Téléopérable
[TELEOP]</t>
  </si>
  <si>
    <t>Ctr&lt;&gt;
[CTR_DIFF]</t>
  </si>
  <si>
    <t>Cad&lt;&gt;
[CAD_DIFF]</t>
  </si>
  <si>
    <t>FTA&lt;&gt;
[FTA_DIFF]</t>
  </si>
  <si>
    <t>CTX&lt;&gt;
[CTX_DIFF]</t>
  </si>
  <si>
    <t>PS&lt;&gt;
[PS_DIFF]</t>
  </si>
  <si>
    <t>Prestation
[PRS]</t>
  </si>
  <si>
    <t>Mode de réalisation
[MODE_REAL]</t>
  </si>
  <si>
    <t>Sur site
[SITE]</t>
  </si>
  <si>
    <t>Trt manuel
[IND]</t>
  </si>
  <si>
    <t/>
  </si>
  <si>
    <t xml:space="preserve">
[FILE_NAME]</t>
  </si>
  <si>
    <t>GINKO</t>
  </si>
  <si>
    <t>F130B</t>
  </si>
  <si>
    <t>Téléopération</t>
  </si>
  <si>
    <t>Non recevable</t>
  </si>
  <si>
    <t>NA</t>
  </si>
  <si>
    <t>Motif NR
[MOTIF_NR]</t>
  </si>
  <si>
    <t>MOTIF_NR</t>
  </si>
  <si>
    <t>Motif SITE
[MOTIF_SITE]</t>
  </si>
  <si>
    <t>MOTIF_SITE</t>
  </si>
  <si>
    <t>1</t>
  </si>
  <si>
    <t>2</t>
  </si>
  <si>
    <t xml:space="preserve">
[CR_EXT]</t>
  </si>
  <si>
    <t>[COL_INT]</t>
  </si>
  <si>
    <t>[HIDE_INT]</t>
  </si>
  <si>
    <t xml:space="preserve">
[CR_INT]</t>
  </si>
  <si>
    <t>Déplacement sur site</t>
  </si>
  <si>
    <t>GAZ DE PARIS_20191206</t>
  </si>
  <si>
    <t>09164544121954</t>
  </si>
  <si>
    <t>09780028911863</t>
  </si>
  <si>
    <t>09797539789041</t>
  </si>
  <si>
    <t>01388422484103</t>
  </si>
  <si>
    <t>14521418216821</t>
  </si>
  <si>
    <t>14635600576120</t>
  </si>
  <si>
    <t>21327062106150</t>
  </si>
  <si>
    <t>22119826227839</t>
  </si>
  <si>
    <t>22160202552029</t>
  </si>
  <si>
    <t>22290159137484</t>
  </si>
  <si>
    <t>22575976781746</t>
  </si>
  <si>
    <t>23538060764251</t>
  </si>
  <si>
    <t>24341099817969</t>
  </si>
  <si>
    <t>24570188123872</t>
  </si>
  <si>
    <t>01328943557999</t>
  </si>
  <si>
    <t>14229377680778</t>
  </si>
  <si>
    <t>14254703220809</t>
  </si>
  <si>
    <t>14282199669190</t>
  </si>
  <si>
    <t>21241099744510</t>
  </si>
  <si>
    <t>21357742276207</t>
  </si>
  <si>
    <t>22141244538777</t>
  </si>
  <si>
    <t>22272503584475</t>
  </si>
  <si>
    <t>22296526753898</t>
  </si>
  <si>
    <t>22297105602548</t>
  </si>
  <si>
    <t>04115629490508</t>
  </si>
  <si>
    <t>24367438429128</t>
  </si>
  <si>
    <t>25111432587884</t>
  </si>
  <si>
    <t>25283791528239</t>
  </si>
  <si>
    <t>04302315456404</t>
  </si>
  <si>
    <t>05130969555220</t>
  </si>
  <si>
    <t>05186975397891</t>
  </si>
  <si>
    <t>05410998508420</t>
  </si>
  <si>
    <t>06305354513287</t>
  </si>
  <si>
    <t>06537047747086</t>
  </si>
  <si>
    <t>07238205427113</t>
  </si>
  <si>
    <t>14327930534139</t>
  </si>
  <si>
    <t>14419970954350</t>
  </si>
  <si>
    <t>14489001381437</t>
  </si>
  <si>
    <t>01535889989399</t>
  </si>
  <si>
    <t>14640086780989</t>
  </si>
  <si>
    <t>14807235857727</t>
  </si>
  <si>
    <t>15253979656309</t>
  </si>
  <si>
    <t>17115774224342</t>
  </si>
  <si>
    <t>17183357354401</t>
  </si>
  <si>
    <t>19467149014458</t>
  </si>
  <si>
    <t>19786107074902</t>
  </si>
  <si>
    <t>19882633840580</t>
  </si>
  <si>
    <t>02165846586613</t>
  </si>
  <si>
    <t>02432561503494</t>
  </si>
  <si>
    <t>24506078044860</t>
  </si>
  <si>
    <t>24528075197635</t>
  </si>
  <si>
    <t>25348769848340</t>
  </si>
  <si>
    <t>25922865364821</t>
  </si>
  <si>
    <t>04328798808850</t>
  </si>
  <si>
    <t>05201591875504</t>
  </si>
  <si>
    <t>05282633852284</t>
  </si>
  <si>
    <t>05520115707256</t>
  </si>
  <si>
    <t>06321852327986</t>
  </si>
  <si>
    <t>24503039046820</t>
  </si>
  <si>
    <t>04230390720150</t>
  </si>
  <si>
    <t>25159478956441</t>
  </si>
  <si>
    <t>25479015895687</t>
  </si>
  <si>
    <t>05131548466509</t>
  </si>
  <si>
    <t>01233719188108</t>
  </si>
  <si>
    <t>07181765502251</t>
  </si>
  <si>
    <t>01246020233334</t>
  </si>
  <si>
    <t>09535600521688</t>
  </si>
  <si>
    <t>12108104179215</t>
  </si>
  <si>
    <t>12137771284298</t>
  </si>
  <si>
    <t>12169030330605</t>
  </si>
  <si>
    <t>12201447124473</t>
  </si>
  <si>
    <t>01152677212232</t>
  </si>
  <si>
    <t>01216497820945</t>
  </si>
  <si>
    <t>09779739484200</t>
  </si>
  <si>
    <t>01258031762342</t>
  </si>
  <si>
    <t>12183502155970</t>
  </si>
  <si>
    <t>12220984029366</t>
  </si>
  <si>
    <t>14214616307966</t>
  </si>
  <si>
    <t>14234732230706</t>
  </si>
  <si>
    <t>21267438471755</t>
  </si>
  <si>
    <t>22203328447220</t>
  </si>
  <si>
    <t>22483502142714</t>
  </si>
  <si>
    <t>23187554184220</t>
  </si>
  <si>
    <t>23237915960863</t>
  </si>
  <si>
    <t>23268306795686</t>
  </si>
  <si>
    <t>24390882606201</t>
  </si>
  <si>
    <t>12110853805435</t>
  </si>
  <si>
    <t>14206656951307</t>
  </si>
  <si>
    <t>14295802994699</t>
  </si>
  <si>
    <t>14356584595606</t>
  </si>
  <si>
    <t>14453690288654</t>
  </si>
  <si>
    <t>14485672926030</t>
  </si>
  <si>
    <t>15431259006722</t>
  </si>
  <si>
    <t>16128798659892</t>
  </si>
  <si>
    <t>17145151895189</t>
  </si>
  <si>
    <t>17394355985724</t>
  </si>
  <si>
    <t>02141533935685</t>
  </si>
  <si>
    <t>19835745252240</t>
  </si>
  <si>
    <t>21146599040177</t>
  </si>
  <si>
    <t>02156005767382</t>
  </si>
  <si>
    <t>09787409527772</t>
  </si>
  <si>
    <t>14890882723968</t>
  </si>
  <si>
    <t>07347901534794</t>
  </si>
  <si>
    <t>09108827769167</t>
  </si>
  <si>
    <t>09315918941515</t>
  </si>
  <si>
    <t>09717944991689</t>
  </si>
  <si>
    <t>14269753962495</t>
  </si>
  <si>
    <t>14296671365453</t>
  </si>
  <si>
    <t>14500868247269</t>
  </si>
  <si>
    <t>14544138852489</t>
  </si>
  <si>
    <t>14706656969382</t>
  </si>
  <si>
    <t>15591751061656</t>
  </si>
  <si>
    <t>16165846545015</t>
  </si>
  <si>
    <t>16478147570520</t>
  </si>
  <si>
    <t>17183646787958</t>
  </si>
  <si>
    <t>19117221256728</t>
  </si>
  <si>
    <t>19140376265022</t>
  </si>
  <si>
    <t>19569609169156</t>
  </si>
  <si>
    <t>19986975337177</t>
  </si>
  <si>
    <t>07321852338565</t>
  </si>
  <si>
    <t>14253256065017</t>
  </si>
  <si>
    <t>25910564392213</t>
  </si>
  <si>
    <t>01610853828480</t>
  </si>
  <si>
    <t>14258610519920</t>
  </si>
  <si>
    <t>21419970950094</t>
  </si>
  <si>
    <t>HPHC</t>
  </si>
  <si>
    <t>BASEPTE</t>
  </si>
  <si>
    <t>PROD_DG_SGE</t>
  </si>
  <si>
    <t xml:space="preserve">
[MSG]</t>
  </si>
  <si>
    <t>PROD_DG_BC5</t>
  </si>
  <si>
    <t>SERVC</t>
  </si>
  <si>
    <t>72160</t>
  </si>
  <si>
    <t>LINKY</t>
  </si>
  <si>
    <t>37300</t>
  </si>
  <si>
    <t>59165</t>
  </si>
  <si>
    <t>22190</t>
  </si>
  <si>
    <t>29200</t>
  </si>
  <si>
    <t>92130</t>
  </si>
  <si>
    <t>MU4</t>
  </si>
  <si>
    <t>60440</t>
  </si>
  <si>
    <t>77510</t>
  </si>
  <si>
    <t>91120</t>
  </si>
  <si>
    <t>93600</t>
  </si>
  <si>
    <t>12000</t>
  </si>
  <si>
    <t>34430</t>
  </si>
  <si>
    <t>30000</t>
  </si>
  <si>
    <t>62210</t>
  </si>
  <si>
    <t>44800</t>
  </si>
  <si>
    <t>44700</t>
  </si>
  <si>
    <t>44620</t>
  </si>
  <si>
    <t>78710</t>
  </si>
  <si>
    <t>92370</t>
  </si>
  <si>
    <t>77170</t>
  </si>
  <si>
    <t>91280</t>
  </si>
  <si>
    <t>91140</t>
  </si>
  <si>
    <t>91450</t>
  </si>
  <si>
    <t>02200</t>
  </si>
  <si>
    <t>34000</t>
  </si>
  <si>
    <t>13009</t>
  </si>
  <si>
    <t>13090</t>
  </si>
  <si>
    <t>51100</t>
  </si>
  <si>
    <t>54500</t>
  </si>
  <si>
    <t>54110</t>
  </si>
  <si>
    <t>88100</t>
  </si>
  <si>
    <t>68260</t>
  </si>
  <si>
    <t>25000</t>
  </si>
  <si>
    <t>75011</t>
  </si>
  <si>
    <t>85750</t>
  </si>
  <si>
    <t>35480</t>
  </si>
  <si>
    <t>35370</t>
  </si>
  <si>
    <t>59495</t>
  </si>
  <si>
    <t>56750</t>
  </si>
  <si>
    <t>17320</t>
  </si>
  <si>
    <t>63115</t>
  </si>
  <si>
    <t>63200</t>
  </si>
  <si>
    <t>69290</t>
  </si>
  <si>
    <t>26200</t>
  </si>
  <si>
    <t>42650</t>
  </si>
  <si>
    <t>76800</t>
  </si>
  <si>
    <t>14000</t>
  </si>
  <si>
    <t>34160</t>
  </si>
  <si>
    <t>30900</t>
  </si>
  <si>
    <t>83130</t>
  </si>
  <si>
    <t>06130</t>
  </si>
  <si>
    <t>CBE</t>
  </si>
  <si>
    <t>51370</t>
  </si>
  <si>
    <t>55500</t>
  </si>
  <si>
    <t>52000</t>
  </si>
  <si>
    <t>57220</t>
  </si>
  <si>
    <t>68970</t>
  </si>
  <si>
    <t>08000</t>
  </si>
  <si>
    <t>13013</t>
  </si>
  <si>
    <t>06500</t>
  </si>
  <si>
    <t>54250</t>
  </si>
  <si>
    <t>59300</t>
  </si>
  <si>
    <t>75010</t>
  </si>
  <si>
    <t>45000</t>
  </si>
  <si>
    <t>71110</t>
  </si>
  <si>
    <t>71118</t>
  </si>
  <si>
    <t>71230</t>
  </si>
  <si>
    <t>21850</t>
  </si>
  <si>
    <t>59000</t>
  </si>
  <si>
    <t>59970</t>
  </si>
  <si>
    <t>37700</t>
  </si>
  <si>
    <t>59230</t>
  </si>
  <si>
    <t>71450</t>
  </si>
  <si>
    <t>21000</t>
  </si>
  <si>
    <t>44860</t>
  </si>
  <si>
    <t>78980</t>
  </si>
  <si>
    <t>93160</t>
  </si>
  <si>
    <t>31300</t>
  </si>
  <si>
    <t>81150</t>
  </si>
  <si>
    <t>81100</t>
  </si>
  <si>
    <t>34070</t>
  </si>
  <si>
    <t>71200</t>
  </si>
  <si>
    <t>44340</t>
  </si>
  <si>
    <t>85600</t>
  </si>
  <si>
    <t>35160</t>
  </si>
  <si>
    <t>35720</t>
  </si>
  <si>
    <t>79000</t>
  </si>
  <si>
    <t>33450</t>
  </si>
  <si>
    <t>63670</t>
  </si>
  <si>
    <t>03200</t>
  </si>
  <si>
    <t>76650</t>
  </si>
  <si>
    <t>42300</t>
  </si>
  <si>
    <t>78610</t>
  </si>
  <si>
    <t>76520</t>
  </si>
  <si>
    <t>56100</t>
  </si>
  <si>
    <t>75013</t>
  </si>
  <si>
    <t>72200</t>
  </si>
  <si>
    <t>49300</t>
  </si>
  <si>
    <t>37000</t>
  </si>
  <si>
    <t>44600</t>
  </si>
  <si>
    <t>44230</t>
  </si>
  <si>
    <t>22440</t>
  </si>
  <si>
    <t>22130</t>
  </si>
  <si>
    <t>29910</t>
  </si>
  <si>
    <t>87280</t>
  </si>
  <si>
    <t>33800</t>
  </si>
  <si>
    <t>40465</t>
  </si>
  <si>
    <t>63000</t>
  </si>
  <si>
    <t>69006</t>
  </si>
  <si>
    <t>74100</t>
  </si>
  <si>
    <t>01000</t>
  </si>
  <si>
    <t>44300</t>
  </si>
  <si>
    <t>06410</t>
  </si>
  <si>
    <t>80540</t>
  </si>
  <si>
    <t>44470</t>
  </si>
  <si>
    <t>95240</t>
  </si>
  <si>
    <t>Le contrat cible et le contrat source sont identiques</t>
  </si>
  <si>
    <t>Changement de structure tarifaire sur compteur CBE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</si>
</sst>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Arial"/>
      <family val="2"/>
    </font>
    <font>
      <sz val="10"/>
      <name val="Times New Roman"/>
      <family val="1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9"/>
      <color rgb="FF000000"/>
      <name val="Calibri"/>
      <family val="2"/>
    </font>
    <font>
      <sz val="10"/>
      <color rgb="FF000000"/>
      <name val="Calibri"/>
      <family val="2"/>
    </font>
  </fonts>
  <fills count="6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45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10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57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22"/>
      </patternFill>
    </fill>
    <fill>
      <patternFill patternType="solid">
        <fgColor indexed="35"/>
        <bgColor indexed="35"/>
      </patternFill>
    </fill>
    <fill>
      <patternFill patternType="solid">
        <fgColor indexed="26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60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29">
    <xf numFmtId="0" fontId="0" fillId="0" borderId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3" fillId="14" borderId="0" applyNumberFormat="0" applyBorder="0" applyAlignment="0" applyProtection="0"/>
    <xf numFmtId="0" fontId="3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33" borderId="2" applyNumberFormat="0" applyAlignment="0" applyProtection="0"/>
    <xf numFmtId="0" fontId="7" fillId="0" borderId="3" applyNumberFormat="0" applyFill="0" applyAlignment="0" applyProtection="0"/>
    <xf numFmtId="0" fontId="1" fillId="2" borderId="1" applyNumberFormat="0" applyFont="0" applyAlignment="0" applyProtection="0"/>
    <xf numFmtId="0" fontId="8" fillId="35" borderId="0" applyNumberFormat="0" applyBorder="0" applyAlignment="0" applyProtection="0"/>
    <xf numFmtId="0" fontId="8" fillId="36" borderId="0" applyNumberFormat="0" applyBorder="0" applyAlignment="0" applyProtection="0"/>
    <xf numFmtId="0" fontId="8" fillId="37" borderId="0" applyNumberFormat="0" applyBorder="0" applyAlignment="0" applyProtection="0"/>
    <xf numFmtId="0" fontId="9" fillId="29" borderId="2" applyNumberFormat="0" applyAlignment="0" applyProtection="0"/>
    <xf numFmtId="0" fontId="10" fillId="28" borderId="0" applyNumberFormat="0" applyBorder="0" applyAlignment="0" applyProtection="0"/>
    <xf numFmtId="0" fontId="7" fillId="29" borderId="0" applyNumberFormat="0" applyBorder="0" applyAlignment="0" applyProtection="0"/>
    <xf numFmtId="0" fontId="11" fillId="0" borderId="0"/>
    <xf numFmtId="0" fontId="12" fillId="0" borderId="0"/>
    <xf numFmtId="0" fontId="11" fillId="0" borderId="0"/>
    <xf numFmtId="0" fontId="11" fillId="0" borderId="0"/>
    <xf numFmtId="0" fontId="27" fillId="0" borderId="0"/>
    <xf numFmtId="0" fontId="11" fillId="0" borderId="0"/>
    <xf numFmtId="0" fontId="13" fillId="39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" fillId="0" borderId="0"/>
    <xf numFmtId="0" fontId="12" fillId="0" borderId="0"/>
    <xf numFmtId="0" fontId="12" fillId="0" borderId="0"/>
    <xf numFmtId="4" fontId="13" fillId="38" borderId="2" applyNumberFormat="0" applyProtection="0">
      <alignment vertical="center"/>
    </xf>
    <xf numFmtId="4" fontId="15" fillId="40" borderId="2" applyNumberFormat="0" applyProtection="0">
      <alignment vertical="center"/>
    </xf>
    <xf numFmtId="4" fontId="13" fillId="40" borderId="2" applyNumberFormat="0" applyProtection="0">
      <alignment horizontal="left" vertical="center" indent="1"/>
    </xf>
    <xf numFmtId="0" fontId="16" fillId="38" borderId="4" applyNumberFormat="0" applyProtection="0">
      <alignment horizontal="left" vertical="top" indent="1"/>
    </xf>
    <xf numFmtId="4" fontId="13" fillId="7" borderId="2" applyNumberFormat="0" applyProtection="0">
      <alignment horizontal="left" vertical="center" indent="1"/>
    </xf>
    <xf numFmtId="4" fontId="13" fillId="3" borderId="2" applyNumberFormat="0" applyProtection="0">
      <alignment horizontal="right" vertical="center"/>
    </xf>
    <xf numFmtId="4" fontId="13" fillId="41" borderId="2" applyNumberFormat="0" applyProtection="0">
      <alignment horizontal="right" vertical="center"/>
    </xf>
    <xf numFmtId="4" fontId="13" fillId="13" borderId="5" applyNumberFormat="0" applyProtection="0">
      <alignment horizontal="right" vertical="center"/>
    </xf>
    <xf numFmtId="4" fontId="13" fillId="6" borderId="2" applyNumberFormat="0" applyProtection="0">
      <alignment horizontal="right" vertical="center"/>
    </xf>
    <xf numFmtId="4" fontId="13" fillId="8" borderId="2" applyNumberFormat="0" applyProtection="0">
      <alignment horizontal="right" vertical="center"/>
    </xf>
    <xf numFmtId="4" fontId="13" fillId="27" borderId="2" applyNumberFormat="0" applyProtection="0">
      <alignment horizontal="right" vertical="center"/>
    </xf>
    <xf numFmtId="4" fontId="13" fillId="18" borderId="2" applyNumberFormat="0" applyProtection="0">
      <alignment horizontal="right" vertical="center"/>
    </xf>
    <xf numFmtId="4" fontId="13" fillId="42" borderId="2" applyNumberFormat="0" applyProtection="0">
      <alignment horizontal="right" vertical="center"/>
    </xf>
    <xf numFmtId="4" fontId="13" fillId="5" borderId="2" applyNumberFormat="0" applyProtection="0">
      <alignment horizontal="right" vertical="center"/>
    </xf>
    <xf numFmtId="4" fontId="13" fillId="43" borderId="5" applyNumberFormat="0" applyProtection="0">
      <alignment horizontal="left" vertical="center" indent="1"/>
    </xf>
    <xf numFmtId="4" fontId="11" fillId="44" borderId="5" applyNumberFormat="0" applyProtection="0">
      <alignment horizontal="left" vertical="center" indent="1"/>
    </xf>
    <xf numFmtId="4" fontId="11" fillId="44" borderId="5" applyNumberFormat="0" applyProtection="0">
      <alignment horizontal="left" vertical="center" indent="1"/>
    </xf>
    <xf numFmtId="4" fontId="13" fillId="45" borderId="2" applyNumberFormat="0" applyProtection="0">
      <alignment horizontal="right" vertical="center"/>
    </xf>
    <xf numFmtId="4" fontId="13" fillId="46" borderId="5" applyNumberFormat="0" applyProtection="0">
      <alignment horizontal="left" vertical="center" indent="1"/>
    </xf>
    <xf numFmtId="4" fontId="13" fillId="45" borderId="5" applyNumberFormat="0" applyProtection="0">
      <alignment horizontal="left" vertical="center" indent="1"/>
    </xf>
    <xf numFmtId="0" fontId="13" fillId="32" borderId="2" applyNumberFormat="0" applyProtection="0">
      <alignment horizontal="left" vertical="center" indent="1"/>
    </xf>
    <xf numFmtId="0" fontId="13" fillId="44" borderId="4" applyNumberFormat="0" applyProtection="0">
      <alignment horizontal="left" vertical="top" indent="1"/>
    </xf>
    <xf numFmtId="0" fontId="13" fillId="44" borderId="4" applyNumberFormat="0" applyProtection="0">
      <alignment horizontal="left" vertical="top" indent="1"/>
    </xf>
    <xf numFmtId="0" fontId="13" fillId="47" borderId="2" applyNumberFormat="0" applyProtection="0">
      <alignment horizontal="left" vertical="center" indent="1"/>
    </xf>
    <xf numFmtId="0" fontId="13" fillId="45" borderId="4" applyNumberFormat="0" applyProtection="0">
      <alignment horizontal="left" vertical="top" indent="1"/>
    </xf>
    <xf numFmtId="0" fontId="13" fillId="45" borderId="4" applyNumberFormat="0" applyProtection="0">
      <alignment horizontal="left" vertical="top" indent="1"/>
    </xf>
    <xf numFmtId="0" fontId="13" fillId="4" borderId="2" applyNumberFormat="0" applyProtection="0">
      <alignment horizontal="left" vertical="center" indent="1"/>
    </xf>
    <xf numFmtId="0" fontId="13" fillId="4" borderId="4" applyNumberFormat="0" applyProtection="0">
      <alignment horizontal="left" vertical="top" indent="1"/>
    </xf>
    <xf numFmtId="0" fontId="13" fillId="4" borderId="4" applyNumberFormat="0" applyProtection="0">
      <alignment horizontal="left" vertical="top" indent="1"/>
    </xf>
    <xf numFmtId="0" fontId="13" fillId="46" borderId="2" applyNumberFormat="0" applyProtection="0">
      <alignment horizontal="left" vertical="center" indent="1"/>
    </xf>
    <xf numFmtId="0" fontId="13" fillId="46" borderId="4" applyNumberFormat="0" applyProtection="0">
      <alignment horizontal="left" vertical="top" indent="1"/>
    </xf>
    <xf numFmtId="0" fontId="13" fillId="46" borderId="4" applyNumberFormat="0" applyProtection="0">
      <alignment horizontal="left" vertical="top" indent="1"/>
    </xf>
    <xf numFmtId="0" fontId="13" fillId="48" borderId="6" applyNumberFormat="0">
      <protection locked="0"/>
    </xf>
    <xf numFmtId="0" fontId="13" fillId="48" borderId="6" applyNumberFormat="0">
      <protection locked="0"/>
    </xf>
    <xf numFmtId="0" fontId="13" fillId="48" borderId="6" applyNumberFormat="0">
      <protection locked="0"/>
    </xf>
    <xf numFmtId="0" fontId="13" fillId="48" borderId="6" applyNumberFormat="0">
      <protection locked="0"/>
    </xf>
    <xf numFmtId="0" fontId="17" fillId="44" borderId="7" applyBorder="0"/>
    <xf numFmtId="4" fontId="18" fillId="34" borderId="4" applyNumberFormat="0" applyProtection="0">
      <alignment vertical="center"/>
    </xf>
    <xf numFmtId="4" fontId="15" fillId="49" borderId="8" applyNumberFormat="0" applyProtection="0">
      <alignment vertical="center"/>
    </xf>
    <xf numFmtId="4" fontId="18" fillId="32" borderId="4" applyNumberFormat="0" applyProtection="0">
      <alignment horizontal="left" vertical="center" indent="1"/>
    </xf>
    <xf numFmtId="0" fontId="18" fillId="34" borderId="4" applyNumberFormat="0" applyProtection="0">
      <alignment horizontal="left" vertical="top" indent="1"/>
    </xf>
    <xf numFmtId="4" fontId="13" fillId="0" borderId="2" applyNumberFormat="0" applyProtection="0">
      <alignment horizontal="right" vertical="center"/>
    </xf>
    <xf numFmtId="4" fontId="15" fillId="50" borderId="2" applyNumberFormat="0" applyProtection="0">
      <alignment horizontal="right" vertical="center"/>
    </xf>
    <xf numFmtId="4" fontId="13" fillId="7" borderId="2" applyNumberFormat="0" applyProtection="0">
      <alignment horizontal="left" vertical="center" indent="1"/>
    </xf>
    <xf numFmtId="0" fontId="18" fillId="45" borderId="4" applyNumberFormat="0" applyProtection="0">
      <alignment horizontal="left" vertical="top" indent="1"/>
    </xf>
    <xf numFmtId="4" fontId="19" fillId="51" borderId="5" applyNumberFormat="0" applyProtection="0">
      <alignment horizontal="left" vertical="center" indent="1"/>
    </xf>
    <xf numFmtId="0" fontId="13" fillId="52" borderId="8"/>
    <xf numFmtId="4" fontId="20" fillId="48" borderId="2" applyNumberFormat="0" applyProtection="0">
      <alignment horizontal="right" vertical="center"/>
    </xf>
    <xf numFmtId="0" fontId="3" fillId="20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33" borderId="9" applyNumberFormat="0" applyAlignment="0" applyProtection="0"/>
    <xf numFmtId="0" fontId="23" fillId="0" borderId="10" applyNumberFormat="0" applyFill="0" applyAlignment="0" applyProtection="0"/>
    <xf numFmtId="0" fontId="24" fillId="0" borderId="11" applyNumberFormat="0" applyFill="0" applyAlignment="0" applyProtection="0"/>
    <xf numFmtId="0" fontId="25" fillId="0" borderId="12" applyNumberFormat="0" applyFill="0" applyAlignment="0" applyProtection="0"/>
    <xf numFmtId="0" fontId="25" fillId="0" borderId="0" applyNumberFormat="0" applyFill="0" applyBorder="0" applyAlignment="0" applyProtection="0"/>
    <xf numFmtId="0" fontId="8" fillId="0" borderId="13" applyNumberFormat="0" applyFill="0" applyAlignment="0" applyProtection="0"/>
    <xf numFmtId="0" fontId="26" fillId="24" borderId="14" applyNumberFormat="0" applyAlignment="0" applyProtection="0"/>
    <xf numFmtId="164" fontId="1" fillId="0" borderId="0" applyFont="0" applyFill="0" applyBorder="0" applyAlignment="0" applyProtection="0"/>
    <xf numFmtId="0" fontId="1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</cellStyleXfs>
  <cellXfs count="131">
    <xf numFmtId="0" fontId="0" fillId="0" borderId="0" xfId="0"/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/>
    <xf numFmtId="0" fontId="0" fillId="0" borderId="18" xfId="0" applyBorder="1"/>
    <xf numFmtId="49" fontId="0" fillId="0" borderId="0" xfId="0" applyNumberFormat="1" applyAlignment="1">
      <alignment horizontal="left"/>
    </xf>
    <xf numFmtId="49" fontId="0" fillId="0" borderId="0" xfId="124" quotePrefix="1" applyNumberFormat="1" applyFont="1" applyAlignment="1">
      <alignment horizontal="left"/>
    </xf>
    <xf numFmtId="0" fontId="0" fillId="0" borderId="0" xfId="0" applyNumberFormat="1" applyAlignment="1">
      <alignment horizontal="left" vertical="top" wrapText="1"/>
    </xf>
    <xf numFmtId="0" fontId="0" fillId="0" borderId="0" xfId="0"/>
    <xf numFmtId="49" fontId="0" fillId="0" borderId="0" xfId="0" applyNumberFormat="1" applyFill="1" applyAlignment="1">
      <alignment horizontal="left"/>
    </xf>
    <xf numFmtId="49" fontId="0" fillId="0" borderId="0" xfId="0" applyNumberFormat="1" applyAlignment="1">
      <alignment wrapText="1"/>
    </xf>
    <xf numFmtId="49" fontId="0" fillId="0" borderId="0" xfId="0" applyNumberFormat="1" applyBorder="1"/>
    <xf numFmtId="49" fontId="0" fillId="0" borderId="0" xfId="0" quotePrefix="1" applyNumberFormat="1" applyAlignment="1">
      <alignment vertical="center" wrapText="1"/>
    </xf>
    <xf numFmtId="49" fontId="0" fillId="0" borderId="0" xfId="0" applyNumberFormat="1" applyFont="1" applyBorder="1" applyAlignment="1">
      <alignment vertical="center" wrapText="1"/>
    </xf>
    <xf numFmtId="49" fontId="0" fillId="0" borderId="0" xfId="0" applyNumberFormat="1" applyFill="1" applyAlignment="1">
      <alignment horizontal="center" vertical="center" wrapText="1"/>
    </xf>
    <xf numFmtId="49" fontId="0" fillId="0" borderId="0" xfId="0" applyNumberForma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49" fontId="0" fillId="0" borderId="0" xfId="0" applyNumberFormat="1" applyFill="1" applyAlignment="1">
      <alignment vertical="center"/>
    </xf>
    <xf numFmtId="0" fontId="0" fillId="0" borderId="20" xfId="0" applyBorder="1"/>
    <xf numFmtId="49" fontId="0" fillId="0" borderId="20" xfId="0" applyNumberFormat="1" applyBorder="1" applyAlignment="1">
      <alignment horizontal="left"/>
    </xf>
    <xf numFmtId="49" fontId="0" fillId="0" borderId="20" xfId="0" applyNumberFormat="1" applyBorder="1"/>
    <xf numFmtId="49" fontId="0" fillId="0" borderId="16" xfId="0" quotePrefix="1" applyNumberFormat="1" applyBorder="1" applyAlignment="1">
      <alignment vertical="center" wrapText="1"/>
    </xf>
    <xf numFmtId="0" fontId="0" fillId="0" borderId="16" xfId="0" applyBorder="1" applyAlignment="1">
      <alignment horizontal="left"/>
    </xf>
    <xf numFmtId="0" fontId="11" fillId="0" borderId="20" xfId="0" applyFont="1" applyFill="1" applyBorder="1" applyAlignment="1">
      <alignment horizontal="left" vertical="center"/>
    </xf>
    <xf numFmtId="0" fontId="29" fillId="0" borderId="0" xfId="0" applyFont="1" applyFill="1" applyBorder="1" applyAlignment="1">
      <alignment horizontal="left" vertical="center"/>
    </xf>
    <xf numFmtId="49" fontId="0" fillId="0" borderId="16" xfId="0" applyNumberFormat="1" applyBorder="1"/>
    <xf numFmtId="0" fontId="0" fillId="0" borderId="0" xfId="0" applyAlignment="1">
      <alignment vertical="center"/>
    </xf>
    <xf numFmtId="49" fontId="2" fillId="54" borderId="21" xfId="0" applyNumberFormat="1" applyFont="1" applyFill="1" applyBorder="1" applyAlignment="1">
      <alignment wrapText="1"/>
    </xf>
    <xf numFmtId="49" fontId="2" fillId="54" borderId="15" xfId="0" applyNumberFormat="1" applyFont="1" applyFill="1" applyBorder="1" applyAlignment="1">
      <alignment vertical="center" wrapText="1"/>
    </xf>
    <xf numFmtId="49" fontId="2" fillId="54" borderId="18" xfId="0" applyNumberFormat="1" applyFont="1" applyFill="1" applyBorder="1"/>
    <xf numFmtId="49" fontId="2" fillId="54" borderId="21" xfId="0" applyNumberFormat="1" applyFont="1" applyFill="1" applyBorder="1"/>
    <xf numFmtId="0" fontId="2" fillId="54" borderId="15" xfId="0" applyFont="1" applyFill="1" applyBorder="1" applyAlignment="1">
      <alignment horizontal="left"/>
    </xf>
    <xf numFmtId="0" fontId="2" fillId="54" borderId="18" xfId="0" applyFont="1" applyFill="1" applyBorder="1"/>
    <xf numFmtId="0" fontId="2" fillId="54" borderId="21" xfId="0" applyFont="1" applyFill="1" applyBorder="1"/>
    <xf numFmtId="0" fontId="2" fillId="54" borderId="18" xfId="0" applyFont="1" applyFill="1" applyBorder="1" applyAlignment="1">
      <alignment horizontal="right"/>
    </xf>
    <xf numFmtId="49" fontId="2" fillId="54" borderId="21" xfId="0" applyNumberFormat="1" applyFont="1" applyFill="1" applyBorder="1" applyAlignment="1">
      <alignment horizontal="left" wrapText="1"/>
    </xf>
    <xf numFmtId="49" fontId="2" fillId="54" borderId="15" xfId="0" applyNumberFormat="1" applyFont="1" applyFill="1" applyBorder="1"/>
    <xf numFmtId="0" fontId="2" fillId="54" borderId="21" xfId="0" applyFont="1" applyFill="1" applyBorder="1" applyAlignment="1">
      <alignment wrapText="1"/>
    </xf>
    <xf numFmtId="0" fontId="0" fillId="0" borderId="0" xfId="0"/>
    <xf numFmtId="0" fontId="2" fillId="0" borderId="0" xfId="0" applyFont="1" applyAlignment="1">
      <alignment horizontal="center"/>
    </xf>
    <xf numFmtId="9" fontId="0" fillId="0" borderId="0" xfId="126" applyFont="1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2" fillId="54" borderId="15" xfId="0" applyFont="1" applyFill="1" applyBorder="1"/>
    <xf numFmtId="0" fontId="0" fillId="0" borderId="22" xfId="0" applyBorder="1"/>
    <xf numFmtId="0" fontId="0" fillId="0" borderId="16" xfId="0" applyBorder="1"/>
    <xf numFmtId="0" fontId="0" fillId="0" borderId="0" xfId="0"/>
    <xf numFmtId="0" fontId="0" fillId="0" borderId="0" xfId="0" applyAlignment="1">
      <alignment wrapText="1"/>
    </xf>
    <xf numFmtId="49" fontId="0" fillId="0" borderId="20" xfId="0" applyNumberFormat="1" applyBorder="1"/>
    <xf numFmtId="49" fontId="0" fillId="0" borderId="16" xfId="0" quotePrefix="1" applyNumberFormat="1" applyBorder="1" applyAlignment="1">
      <alignment vertical="center" wrapText="1"/>
    </xf>
    <xf numFmtId="0" fontId="0" fillId="0" borderId="19" xfId="0" applyBorder="1" applyAlignment="1">
      <alignment horizontal="right"/>
    </xf>
    <xf numFmtId="0" fontId="0" fillId="0" borderId="0" xfId="0"/>
    <xf numFmtId="0" fontId="2" fillId="0" borderId="0" xfId="0" applyFont="1" applyAlignment="1">
      <alignment horizontal="left"/>
    </xf>
    <xf numFmtId="49" fontId="0" fillId="0" borderId="16" xfId="0" quotePrefix="1" applyNumberFormat="1" applyBorder="1" applyAlignment="1">
      <alignment vertical="center" wrapText="1"/>
    </xf>
    <xf numFmtId="0" fontId="2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vertical="center" wrapText="1"/>
    </xf>
    <xf numFmtId="9" fontId="0" fillId="0" borderId="0" xfId="0" applyNumberFormat="1" applyAlignment="1">
      <alignment vertical="center"/>
    </xf>
    <xf numFmtId="0" fontId="0" fillId="0" borderId="0" xfId="0" applyBorder="1" applyAlignment="1"/>
    <xf numFmtId="49" fontId="33" fillId="0" borderId="0" xfId="0" applyNumberFormat="1" applyFont="1" applyAlignment="1">
      <alignment vertical="center"/>
    </xf>
    <xf numFmtId="49" fontId="0" fillId="0" borderId="0" xfId="0" applyNumberFormat="1" applyFill="1"/>
    <xf numFmtId="0" fontId="0" fillId="0" borderId="0" xfId="0" applyNumberFormat="1" applyFill="1"/>
    <xf numFmtId="0" fontId="31" fillId="58" borderId="0" xfId="0" applyNumberFormat="1" applyFont="1" applyFill="1" applyAlignment="1">
      <alignment horizontal="left" vertical="center" wrapText="1"/>
    </xf>
    <xf numFmtId="0" fontId="0" fillId="0" borderId="0" xfId="0"/>
    <xf numFmtId="0" fontId="31" fillId="58" borderId="22" xfId="0" applyNumberFormat="1" applyFont="1" applyFill="1" applyBorder="1" applyAlignment="1">
      <alignment horizontal="left" vertical="center" wrapText="1"/>
    </xf>
    <xf numFmtId="0" fontId="0" fillId="55" borderId="26" xfId="0" applyNumberForma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Font="1"/>
    <xf numFmtId="0" fontId="0" fillId="0" borderId="18" xfId="0" applyBorder="1" applyAlignment="1"/>
    <xf numFmtId="0" fontId="0" fillId="0" borderId="17" xfId="0" applyBorder="1" applyAlignment="1">
      <alignment horizontal="center" wrapText="1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49" fontId="0" fillId="55" borderId="26" xfId="0" applyNumberFormat="1" applyFill="1" applyBorder="1" applyAlignment="1">
      <alignment horizontal="left" vertical="center" wrapText="1"/>
    </xf>
    <xf numFmtId="49" fontId="0" fillId="57" borderId="26" xfId="0" applyNumberFormat="1" applyFill="1" applyBorder="1" applyAlignment="1">
      <alignment horizontal="left" vertical="top" wrapText="1"/>
    </xf>
    <xf numFmtId="0" fontId="0" fillId="59" borderId="27" xfId="0" applyNumberFormat="1" applyFill="1" applyBorder="1" applyAlignment="1">
      <alignment horizontal="left" vertical="center" wrapText="1"/>
    </xf>
    <xf numFmtId="0" fontId="0" fillId="0" borderId="0" xfId="0" applyNumberFormat="1" applyBorder="1"/>
    <xf numFmtId="49" fontId="33" fillId="0" borderId="0" xfId="0" applyNumberFormat="1" applyFont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1"/>
    </xf>
    <xf numFmtId="1" fontId="0" fillId="0" borderId="0" xfId="0" applyNumberFormat="1"/>
    <xf numFmtId="0" fontId="0" fillId="0" borderId="0" xfId="0" applyAlignment="1">
      <alignment horizontal="left" indent="2"/>
    </xf>
    <xf numFmtId="49" fontId="0" fillId="0" borderId="0" xfId="0" applyNumberFormat="1" applyAlignment="1">
      <alignment horizontal="left" vertical="center"/>
    </xf>
    <xf numFmtId="49" fontId="0" fillId="0" borderId="0" xfId="0" applyNumberFormat="1"/>
    <xf numFmtId="49" fontId="31" fillId="53" borderId="0" xfId="0" applyNumberFormat="1" applyFont="1" applyFill="1" applyAlignment="1">
      <alignment horizontal="left" vertical="center" wrapText="1"/>
    </xf>
    <xf numFmtId="49" fontId="0" fillId="0" borderId="18" xfId="0" applyNumberFormat="1" applyBorder="1" applyAlignment="1">
      <alignment horizontal="center"/>
    </xf>
    <xf numFmtId="49" fontId="0" fillId="56" borderId="8" xfId="0" applyNumberFormat="1" applyFill="1" applyBorder="1" applyAlignment="1">
      <alignment horizontal="center" vertical="center" wrapText="1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center" vertical="center"/>
    </xf>
    <xf numFmtId="49" fontId="0" fillId="55" borderId="25" xfId="0" applyNumberFormat="1" applyFill="1" applyBorder="1" applyAlignment="1">
      <alignment horizontal="left" vertical="center" wrapText="1"/>
    </xf>
    <xf numFmtId="49" fontId="0" fillId="0" borderId="0" xfId="0" applyNumberFormat="1" applyAlignment="1">
      <alignment horizontal="center"/>
    </xf>
    <xf numFmtId="49" fontId="0" fillId="55" borderId="26" xfId="0" applyNumberFormat="1" applyFill="1" applyBorder="1" applyAlignment="1">
      <alignment horizontal="left" vertical="top" wrapText="1"/>
    </xf>
    <xf numFmtId="0" fontId="0" fillId="0" borderId="0" xfId="0" applyNumberFormat="1" applyAlignment="1">
      <alignment horizontal="center"/>
    </xf>
    <xf numFmtId="0" fontId="31" fillId="58" borderId="25" xfId="0" applyNumberFormat="1" applyFont="1" applyFill="1" applyBorder="1" applyAlignment="1">
      <alignment horizontal="left" vertical="center" wrapText="1"/>
    </xf>
    <xf numFmtId="0" fontId="0" fillId="0" borderId="0" xfId="0" applyNumberFormat="1" applyAlignment="1">
      <alignment horizontal="left"/>
    </xf>
    <xf numFmtId="0" fontId="0" fillId="0" borderId="18" xfId="0" applyNumberFormat="1" applyBorder="1"/>
    <xf numFmtId="0" fontId="0" fillId="0" borderId="18" xfId="0" applyNumberFormat="1" applyBorder="1" applyAlignment="1">
      <alignment horizontal="left"/>
    </xf>
    <xf numFmtId="0" fontId="0" fillId="59" borderId="25" xfId="0" applyNumberFormat="1" applyFill="1" applyBorder="1" applyAlignment="1">
      <alignment horizontal="left" vertical="center" wrapText="1"/>
    </xf>
    <xf numFmtId="0" fontId="0" fillId="59" borderId="26" xfId="0" applyNumberFormat="1" applyFill="1" applyBorder="1" applyAlignment="1">
      <alignment horizontal="left" vertical="center" wrapText="1"/>
    </xf>
    <xf numFmtId="49" fontId="31" fillId="53" borderId="0" xfId="0" applyNumberFormat="1" applyFont="1" applyFill="1" applyAlignment="1">
      <alignment horizontal="center" vertical="center" wrapText="1"/>
    </xf>
    <xf numFmtId="49" fontId="0" fillId="0" borderId="0" xfId="0" applyNumberFormat="1" applyFont="1" applyAlignment="1">
      <alignment horizontal="left"/>
    </xf>
    <xf numFmtId="0" fontId="0" fillId="0" borderId="0" xfId="0" applyNumberFormat="1" applyFont="1" applyAlignment="1">
      <alignment horizontal="left"/>
    </xf>
    <xf numFmtId="49" fontId="0" fillId="0" borderId="0" xfId="0" applyNumberFormat="1" applyFont="1" applyFill="1" applyAlignment="1">
      <alignment horizontal="left"/>
    </xf>
    <xf numFmtId="0" fontId="0" fillId="0" borderId="0" xfId="0" applyNumberFormat="1" applyFont="1" applyFill="1" applyAlignment="1">
      <alignment horizontal="left"/>
    </xf>
    <xf numFmtId="49" fontId="0" fillId="0" borderId="0" xfId="0" applyNumberFormat="1" applyFont="1"/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Fill="1"/>
    <xf numFmtId="0" fontId="0" fillId="0" borderId="0" xfId="0" applyNumberFormat="1" applyFont="1" applyFill="1"/>
    <xf numFmtId="0" fontId="0" fillId="0" borderId="0" xfId="0" applyNumberFormat="1" applyFont="1"/>
    <xf numFmtId="49" fontId="33" fillId="0" borderId="0" xfId="0" applyNumberFormat="1" applyFont="1" applyAlignment="1">
      <alignment horizontal="center" vertical="center"/>
    </xf>
    <xf numFmtId="49" fontId="30" fillId="53" borderId="23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/>
    <xf numFmtId="49" fontId="0" fillId="0" borderId="24" xfId="0" applyNumberFormat="1" applyBorder="1"/>
    <xf numFmtId="0" fontId="28" fillId="53" borderId="0" xfId="0" applyFont="1" applyFill="1" applyAlignment="1">
      <alignment horizontal="center" vertical="center"/>
    </xf>
    <xf numFmtId="0" fontId="2" fillId="0" borderId="18" xfId="0" applyFont="1" applyBorder="1" applyAlignment="1">
      <alignment horizontal="center"/>
    </xf>
  </cellXfs>
  <cellStyles count="129"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 2" xfId="37"/>
    <cellStyle name="Calcul 2" xfId="38"/>
    <cellStyle name="Cellule liée 2" xfId="39"/>
    <cellStyle name="Commentaire 2" xfId="40"/>
    <cellStyle name="Emphasis 1" xfId="41"/>
    <cellStyle name="Emphasis 2" xfId="42"/>
    <cellStyle name="Emphasis 3" xfId="43"/>
    <cellStyle name="Entrée 2" xfId="44"/>
    <cellStyle name="Insatisfaisant 2" xfId="45"/>
    <cellStyle name="Milliers" xfId="124" builtinId="3"/>
    <cellStyle name="Neutre 2" xfId="46"/>
    <cellStyle name="Normal" xfId="0" builtinId="0"/>
    <cellStyle name="Normal 2" xfId="47"/>
    <cellStyle name="Normal 2 2" xfId="48"/>
    <cellStyle name="Normal 2 2 2" xfId="128"/>
    <cellStyle name="Normal 2 3" xfId="49"/>
    <cellStyle name="Normal 3" xfId="50"/>
    <cellStyle name="Normal 3 2" xfId="51"/>
    <cellStyle name="Normal 3 3" xfId="52"/>
    <cellStyle name="Normal 3 4" xfId="127"/>
    <cellStyle name="Normal 4" xfId="53"/>
    <cellStyle name="Normal 4 10" xfId="54"/>
    <cellStyle name="Normal 4 11" xfId="55"/>
    <cellStyle name="Normal 4 13" xfId="56"/>
    <cellStyle name="Normal 4 2" xfId="57"/>
    <cellStyle name="Normal 4 5" xfId="58"/>
    <cellStyle name="Normal 4 6" xfId="59"/>
    <cellStyle name="Normal 4 7" xfId="60"/>
    <cellStyle name="Normal 5" xfId="61"/>
    <cellStyle name="Normal 6" xfId="62"/>
    <cellStyle name="Normal 6 2" xfId="63"/>
    <cellStyle name="Normal 6 3" xfId="64"/>
    <cellStyle name="Normal 7" xfId="65"/>
    <cellStyle name="Normal 7 2" xfId="66"/>
    <cellStyle name="Normal 8" xfId="125"/>
    <cellStyle name="Pourcentage" xfId="126" builtinId="5"/>
    <cellStyle name="SAPBEXaggData" xfId="67"/>
    <cellStyle name="SAPBEXaggDataEmph" xfId="68"/>
    <cellStyle name="SAPBEXaggItem" xfId="69"/>
    <cellStyle name="SAPBEXaggItemX" xfId="70"/>
    <cellStyle name="SAPBEXchaText" xfId="71"/>
    <cellStyle name="SAPBEXexcBad7" xfId="72"/>
    <cellStyle name="SAPBEXexcBad8" xfId="73"/>
    <cellStyle name="SAPBEXexcBad9" xfId="74"/>
    <cellStyle name="SAPBEXexcCritical4" xfId="75"/>
    <cellStyle name="SAPBEXexcCritical5" xfId="76"/>
    <cellStyle name="SAPBEXexcCritical6" xfId="77"/>
    <cellStyle name="SAPBEXexcGood1" xfId="78"/>
    <cellStyle name="SAPBEXexcGood2" xfId="79"/>
    <cellStyle name="SAPBEXexcGood3" xfId="80"/>
    <cellStyle name="SAPBEXfilterDrill" xfId="81"/>
    <cellStyle name="SAPBEXfilterItem" xfId="82"/>
    <cellStyle name="SAPBEXfilterText" xfId="83"/>
    <cellStyle name="SAPBEXformats" xfId="84"/>
    <cellStyle name="SAPBEXheaderItem" xfId="85"/>
    <cellStyle name="SAPBEXheaderText" xfId="86"/>
    <cellStyle name="SAPBEXHLevel0" xfId="87"/>
    <cellStyle name="SAPBEXHLevel0X" xfId="88"/>
    <cellStyle name="SAPBEXHLevel0X 2" xfId="89"/>
    <cellStyle name="SAPBEXHLevel1" xfId="90"/>
    <cellStyle name="SAPBEXHLevel1X" xfId="91"/>
    <cellStyle name="SAPBEXHLevel1X 2" xfId="92"/>
    <cellStyle name="SAPBEXHLevel2" xfId="93"/>
    <cellStyle name="SAPBEXHLevel2X" xfId="94"/>
    <cellStyle name="SAPBEXHLevel2X 2" xfId="95"/>
    <cellStyle name="SAPBEXHLevel3" xfId="96"/>
    <cellStyle name="SAPBEXHLevel3X" xfId="97"/>
    <cellStyle name="SAPBEXHLevel3X 2" xfId="98"/>
    <cellStyle name="SAPBEXinputData" xfId="99"/>
    <cellStyle name="SAPBEXinputData 2" xfId="100"/>
    <cellStyle name="SAPBEXinputData 2 2" xfId="101"/>
    <cellStyle name="SAPBEXinputData 3" xfId="102"/>
    <cellStyle name="SAPBEXItemHeader" xfId="103"/>
    <cellStyle name="SAPBEXresData" xfId="104"/>
    <cellStyle name="SAPBEXresDataEmph" xfId="105"/>
    <cellStyle name="SAPBEXresItem" xfId="106"/>
    <cellStyle name="SAPBEXresItemX" xfId="107"/>
    <cellStyle name="SAPBEXstdData" xfId="108"/>
    <cellStyle name="SAPBEXstdDataEmph" xfId="109"/>
    <cellStyle name="SAPBEXstdItem" xfId="110"/>
    <cellStyle name="SAPBEXstdItemX" xfId="111"/>
    <cellStyle name="SAPBEXtitle" xfId="112"/>
    <cellStyle name="SAPBEXunassignedItem" xfId="113"/>
    <cellStyle name="SAPBEXundefined" xfId="114"/>
    <cellStyle name="Satisfaisant 2" xfId="115"/>
    <cellStyle name="Sheet Title" xfId="116"/>
    <cellStyle name="Sortie 2" xfId="117"/>
    <cellStyle name="Titre 1 2" xfId="118"/>
    <cellStyle name="Titre 2 2" xfId="119"/>
    <cellStyle name="Titre 3 2" xfId="120"/>
    <cellStyle name="Titre 4 2" xfId="121"/>
    <cellStyle name="Total 2" xfId="122"/>
    <cellStyle name="Vérification 2" xfId="123"/>
  </cellStyles>
  <dxfs count="10"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numFmt numFmtId="1" formatCode="0"/>
    </dxf>
    <dxf>
      <numFmt numFmtId="1" formatCode="0"/>
    </dxf>
    <dxf>
      <numFmt numFmtId="1" formatCode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50" dropStyle="combo" dx="16" fmlaLink="PARAM!$C$13" fmlaRange="FOURNISSEURS!$B$4:$B$102" noThreeD="1" sel="54" val="42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1152525</xdr:colOff>
          <xdr:row>5</xdr:row>
          <xdr:rowOff>9525</xdr:rowOff>
        </xdr:from>
        <xdr:to>
          <xdr:col>2</xdr:col>
          <xdr:colOff>1628775</xdr:colOff>
          <xdr:row>6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9525</xdr:rowOff>
        </xdr:from>
        <xdr:to>
          <xdr:col>2</xdr:col>
          <xdr:colOff>628650</xdr:colOff>
          <xdr:row>5</xdr:row>
          <xdr:rowOff>180975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9525</xdr:rowOff>
        </xdr:from>
        <xdr:to>
          <xdr:col>2</xdr:col>
          <xdr:colOff>628650</xdr:colOff>
          <xdr:row>6</xdr:row>
          <xdr:rowOff>180975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1638300</xdr:colOff>
          <xdr:row>5</xdr:row>
          <xdr:rowOff>9525</xdr:rowOff>
        </xdr:from>
        <xdr:to>
          <xdr:col>2</xdr:col>
          <xdr:colOff>2438400</xdr:colOff>
          <xdr:row>6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2</xdr:col>
          <xdr:colOff>2847975</xdr:colOff>
          <xdr:row>4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1638300</xdr:colOff>
          <xdr:row>6</xdr:row>
          <xdr:rowOff>19050</xdr:rowOff>
        </xdr:from>
        <xdr:to>
          <xdr:col>2</xdr:col>
          <xdr:colOff>2438400</xdr:colOff>
          <xdr:row>6</xdr:row>
          <xdr:rowOff>180975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 CRs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2447925</xdr:colOff>
          <xdr:row>5</xdr:row>
          <xdr:rowOff>9525</xdr:rowOff>
        </xdr:from>
        <xdr:to>
          <xdr:col>2</xdr:col>
          <xdr:colOff>2847975</xdr:colOff>
          <xdr:row>6</xdr:row>
          <xdr:rowOff>180975</xdr:rowOff>
        </xdr:to>
        <xdr:sp macro="" textlink="">
          <xdr:nvSpPr>
            <xdr:cNvPr id="11273" name="Button 9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5</xdr:row>
          <xdr:rowOff>9525</xdr:rowOff>
        </xdr:from>
        <xdr:to>
          <xdr:col>2</xdr:col>
          <xdr:colOff>1133475</xdr:colOff>
          <xdr:row>6</xdr:row>
          <xdr:rowOff>180975</xdr:rowOff>
        </xdr:to>
        <xdr:sp macro="" textlink="">
          <xdr:nvSpPr>
            <xdr:cNvPr id="11274" name="Button 10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2</xdr:col>
          <xdr:colOff>990600</xdr:colOff>
          <xdr:row>2</xdr:row>
          <xdr:rowOff>276225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600075</xdr:colOff>
          <xdr:row>2</xdr:row>
          <xdr:rowOff>276225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9525</xdr:rowOff>
        </xdr:from>
        <xdr:to>
          <xdr:col>3</xdr:col>
          <xdr:colOff>733425</xdr:colOff>
          <xdr:row>2</xdr:row>
          <xdr:rowOff>276225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9525</xdr:rowOff>
        </xdr:from>
        <xdr:to>
          <xdr:col>6</xdr:col>
          <xdr:colOff>600075</xdr:colOff>
          <xdr:row>2</xdr:row>
          <xdr:rowOff>276225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9525</xdr:rowOff>
        </xdr:from>
        <xdr:to>
          <xdr:col>6</xdr:col>
          <xdr:colOff>0</xdr:colOff>
          <xdr:row>2</xdr:row>
          <xdr:rowOff>276225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0</xdr:rowOff>
        </xdr:from>
        <xdr:to>
          <xdr:col>3</xdr:col>
          <xdr:colOff>523875</xdr:colOff>
          <xdr:row>0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2</xdr:col>
          <xdr:colOff>466725</xdr:colOff>
          <xdr:row>0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0</xdr:row>
          <xdr:rowOff>0</xdr:rowOff>
        </xdr:from>
        <xdr:to>
          <xdr:col>2</xdr:col>
          <xdr:colOff>942975</xdr:colOff>
          <xdr:row>0</xdr:row>
          <xdr:rowOff>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4</xdr:col>
          <xdr:colOff>876300</xdr:colOff>
          <xdr:row>0</xdr:row>
          <xdr:rowOff>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 les tableaux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0</xdr:row>
          <xdr:rowOff>0</xdr:rowOff>
        </xdr:from>
        <xdr:to>
          <xdr:col>3</xdr:col>
          <xdr:colOff>1038225</xdr:colOff>
          <xdr:row>0</xdr:row>
          <xdr:rowOff>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962025</xdr:colOff>
          <xdr:row>0</xdr:row>
          <xdr:rowOff>0</xdr:rowOff>
        </xdr:from>
        <xdr:to>
          <xdr:col>2</xdr:col>
          <xdr:colOff>1390650</xdr:colOff>
          <xdr:row>0</xdr:row>
          <xdr:rowOff>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2</xdr:row>
          <xdr:rowOff>180975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Raffraîchir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9525</xdr:rowOff>
        </xdr:from>
        <xdr:to>
          <xdr:col>5</xdr:col>
          <xdr:colOff>1038225</xdr:colOff>
          <xdr:row>1</xdr:row>
          <xdr:rowOff>180975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 FROM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RNAUD Paul" refreshedDate="43846.49850115741" createdVersion="3" refreshedVersion="6" minRefreshableVersion="3" recordCount="126">
  <cacheSource type="worksheet">
    <worksheetSource ref="C6:AK132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18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6" maxValue="18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/>
    </cacheField>
    <cacheField name="SI gestion_x000a_[SI_GESTION]" numFmtId="49">
      <sharedItems count="1">
        <s v="GINKO"/>
      </sharedItems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 count="2">
        <s v="F130B"/>
        <s v="Non recevable"/>
      </sharedItems>
    </cacheField>
    <cacheField name="Mode de réalisation_x000a_[MODE_REAL]" numFmtId="0">
      <sharedItems count="3">
        <s v="Téléopération"/>
        <s v="NA"/>
        <s v="Déplacement sur site"/>
      </sharedItems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minValue="0" maxValue="1"/>
    </cacheField>
    <cacheField name="Motif NR_x000a_[MOTIF_NR]" numFmtId="0">
      <sharedItems containsBlank="1"/>
    </cacheField>
    <cacheField name="Motif SITE_x000a_[MOTIF_SITE]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RNAUD Paul" refreshedDate="43846.498501851849" createdVersion="3" refreshedVersion="6" minRefreshableVersion="3" recordCount="126">
  <cacheSource type="worksheet">
    <worksheetSource ref="C6:AK132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18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6" maxValue="18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 count="21">
        <s v="Pays-de-la-Loire"/>
        <s v="Centre"/>
        <s v="Nord"/>
        <s v="Bretagne"/>
        <s v="Ile-de-France"/>
        <s v="Picardie"/>
        <s v="Midi-Pyrénées"/>
        <s v="Languedoc"/>
        <s v="Provence-Alpes-Côte d'Azur"/>
        <s v="Champagne"/>
        <s v="Lorraine"/>
        <s v="Alsace"/>
        <s v="Franche-Comté"/>
        <s v="Poitou-Charente"/>
        <s v="Auvergne"/>
        <s v="Rhône-Alpes"/>
        <s v="Haute-Normandie"/>
        <s v="Basse-Normandie"/>
        <s v="Bourgogne"/>
        <s v="Aquitaine"/>
        <s v="Limousin"/>
      </sharedItems>
    </cacheField>
    <cacheField name="SI gestion_x000a_[SI_GESTION]" numFmtId="49">
      <sharedItems/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/>
    </cacheField>
    <cacheField name="Mode de réalisation_x000a_[MODE_REAL]" numFmtId="0">
      <sharedItems/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minValue="0" maxValue="1"/>
    </cacheField>
    <cacheField name="Motif NR_x000a_[MOTIF_NR]" numFmtId="0">
      <sharedItems containsBlank="1"/>
    </cacheField>
    <cacheField name="Motif SITE_x000a_[MOTIF_SITE]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RNAUD Paul" refreshedDate="43846.498502199072" createdVersion="3" refreshedVersion="6" minRefreshableVersion="3" recordCount="126">
  <cacheSource type="worksheet">
    <worksheetSource ref="C6:AK132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18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6" maxValue="18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 count="21">
        <s v="Pays-de-la-Loire"/>
        <s v="Centre"/>
        <s v="Nord"/>
        <s v="Bretagne"/>
        <s v="Ile-de-France"/>
        <s v="Picardie"/>
        <s v="Midi-Pyrénées"/>
        <s v="Languedoc"/>
        <s v="Provence-Alpes-Côte d'Azur"/>
        <s v="Champagne"/>
        <s v="Lorraine"/>
        <s v="Alsace"/>
        <s v="Franche-Comté"/>
        <s v="Poitou-Charente"/>
        <s v="Auvergne"/>
        <s v="Rhône-Alpes"/>
        <s v="Haute-Normandie"/>
        <s v="Basse-Normandie"/>
        <s v="Bourgogne"/>
        <s v="Aquitaine"/>
        <s v="Limousin"/>
      </sharedItems>
    </cacheField>
    <cacheField name="SI gestion_x000a_[SI_GESTION]" numFmtId="49">
      <sharedItems/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/>
    </cacheField>
    <cacheField name="Mode de réalisation_x000a_[MODE_REAL]" numFmtId="0">
      <sharedItems count="3">
        <s v="Téléopération"/>
        <s v="NA"/>
        <s v="Déplacement sur site"/>
      </sharedItems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minValue="0" maxValue="1"/>
    </cacheField>
    <cacheField name="Motif NR_x000a_[MOTIF_NR]" numFmtId="0">
      <sharedItems containsBlank="1"/>
    </cacheField>
    <cacheField name="Motif SITE_x000a_[MOTIF_SITE]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RNAUD Paul" refreshedDate="43846.49850277778" createdVersion="3" refreshedVersion="6" minRefreshableVersion="3" recordCount="126">
  <cacheSource type="worksheet">
    <worksheetSource ref="C6:AK132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18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6" maxValue="18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/>
    </cacheField>
    <cacheField name="SI gestion_x000a_[SI_GESTION]" numFmtId="49">
      <sharedItems count="1">
        <s v="GINKO"/>
      </sharedItems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 count="2">
        <s v="F130B"/>
        <s v="Non recevable"/>
      </sharedItems>
    </cacheField>
    <cacheField name="Mode de réalisation_x000a_[MODE_REAL]" numFmtId="0">
      <sharedItems count="3">
        <s v="Téléopération"/>
        <s v="NA"/>
        <s v="Déplacement sur site"/>
      </sharedItems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minValue="0" maxValue="1"/>
    </cacheField>
    <cacheField name="Motif NR_x000a_[MOTIF_NR]" numFmtId="0">
      <sharedItems containsBlank="1"/>
    </cacheField>
    <cacheField name="Motif SITE_x000a_[MOTIF_SITE]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RNAUD Paul" refreshedDate="43846.498503356481" createdVersion="3" refreshedVersion="6" minRefreshableVersion="3" recordCount="126">
  <cacheSource type="worksheet">
    <worksheetSource ref="C6:AK132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18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6" maxValue="18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 count="21">
        <s v="Pays-de-la-Loire"/>
        <s v="Centre"/>
        <s v="Nord"/>
        <s v="Bretagne"/>
        <s v="Ile-de-France"/>
        <s v="Picardie"/>
        <s v="Midi-Pyrénées"/>
        <s v="Languedoc"/>
        <s v="Provence-Alpes-Côte d'Azur"/>
        <s v="Champagne"/>
        <s v="Lorraine"/>
        <s v="Alsace"/>
        <s v="Franche-Comté"/>
        <s v="Poitou-Charente"/>
        <s v="Auvergne"/>
        <s v="Rhône-Alpes"/>
        <s v="Haute-Normandie"/>
        <s v="Basse-Normandie"/>
        <s v="Bourgogne"/>
        <s v="Aquitaine"/>
        <s v="Limousin"/>
      </sharedItems>
    </cacheField>
    <cacheField name="SI gestion_x000a_[SI_GESTION]" numFmtId="49">
      <sharedItems/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/>
    </cacheField>
    <cacheField name="Mode de réalisation_x000a_[MODE_REAL]" numFmtId="0">
      <sharedItems/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minValue="0" maxValue="1"/>
    </cacheField>
    <cacheField name="Motif NR_x000a_[MOTIF_NR]" numFmtId="0">
      <sharedItems containsBlank="1"/>
    </cacheField>
    <cacheField name="Motif SITE_x000a_[MOTIF_SITE]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ARNAUD Paul" refreshedDate="43846.498503819443" createdVersion="3" refreshedVersion="6" minRefreshableVersion="3" recordCount="126">
  <cacheSource type="worksheet">
    <worksheetSource ref="C6:AK132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18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6" maxValue="18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 count="21">
        <s v="Pays-de-la-Loire"/>
        <s v="Centre"/>
        <s v="Nord"/>
        <s v="Bretagne"/>
        <s v="Ile-de-France"/>
        <s v="Picardie"/>
        <s v="Midi-Pyrénées"/>
        <s v="Languedoc"/>
        <s v="Provence-Alpes-Côte d'Azur"/>
        <s v="Champagne"/>
        <s v="Lorraine"/>
        <s v="Alsace"/>
        <s v="Franche-Comté"/>
        <s v="Poitou-Charente"/>
        <s v="Auvergne"/>
        <s v="Rhône-Alpes"/>
        <s v="Haute-Normandie"/>
        <s v="Basse-Normandie"/>
        <s v="Bourgogne"/>
        <s v="Aquitaine"/>
        <s v="Limousin"/>
      </sharedItems>
    </cacheField>
    <cacheField name="SI gestion_x000a_[SI_GESTION]" numFmtId="49">
      <sharedItems/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/>
    </cacheField>
    <cacheField name="Mode de réalisation_x000a_[MODE_REAL]" numFmtId="0">
      <sharedItems count="3">
        <s v="Téléopération"/>
        <s v="NA"/>
        <s v="Déplacement sur site"/>
      </sharedItems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minValue="0" maxValue="1"/>
    </cacheField>
    <cacheField name="Motif NR_x000a_[MOTIF_NR]" numFmtId="0">
      <sharedItems containsBlank="1"/>
    </cacheField>
    <cacheField name="Motif SITE_x000a_[MOTIF_SITE]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6">
  <r>
    <s v="09164544121954"/>
    <s v="1"/>
    <s v="CU"/>
    <s v=""/>
    <n v="12"/>
    <s v="SERVC"/>
    <s v="GRD-F006"/>
    <m/>
    <m/>
    <m/>
    <m/>
    <s v="FC000018"/>
    <s v="1"/>
    <s v="CU"/>
    <m/>
    <n v="12"/>
    <s v=""/>
    <s v="72160"/>
    <s v="Sarth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09780028911863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s v="Cent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797539789041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s v="Cent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388422484103"/>
    <s v="1"/>
    <s v="CU"/>
    <s v=""/>
    <n v="6"/>
    <s v="SERVC"/>
    <s v="GRD-F051"/>
    <m/>
    <m/>
    <m/>
    <m/>
    <s v="FC000147"/>
    <s v="1"/>
    <s v="CU"/>
    <m/>
    <n v="6"/>
    <s v=""/>
    <s v="59165"/>
    <s v="Nord"/>
    <s v="Nord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521418216821"/>
    <s v="2"/>
    <s v="CU"/>
    <s v=""/>
    <n v="12"/>
    <s v="SERVC"/>
    <s v="GRD-F051"/>
    <m/>
    <m/>
    <m/>
    <m/>
    <s v="FC000142"/>
    <s v="2"/>
    <s v="CU"/>
    <m/>
    <n v="12"/>
    <s v=""/>
    <s v="22190"/>
    <s v="Côtes d'Armor"/>
    <s v="Breta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635600576120"/>
    <s v="1"/>
    <s v="CU"/>
    <s v=""/>
    <n v="6"/>
    <s v="SERVC"/>
    <s v="PROTOC-501"/>
    <m/>
    <m/>
    <m/>
    <m/>
    <s v="FC000010"/>
    <s v="1"/>
    <s v="CU"/>
    <m/>
    <n v="6"/>
    <s v=""/>
    <s v="29200"/>
    <s v="Finistère"/>
    <s v="Bretagne"/>
    <x v="0"/>
    <s v="LINKY"/>
    <n v="2"/>
    <b v="1"/>
    <b v="1"/>
    <b v="0"/>
    <b v="0"/>
    <b v="0"/>
    <b v="0"/>
    <x v="0"/>
    <x v="0"/>
    <n v="0.01"/>
    <n v="0.01"/>
    <m/>
    <m/>
  </r>
  <r>
    <s v="21327062106150"/>
    <s v="2"/>
    <s v="MU"/>
    <s v=""/>
    <n v="9"/>
    <s v="SERVC"/>
    <s v="GRD-F051"/>
    <m/>
    <m/>
    <m/>
    <m/>
    <s v="FC000142"/>
    <s v="2"/>
    <s v="MU"/>
    <m/>
    <n v="9"/>
    <s v=""/>
    <s v="92130"/>
    <s v="Hauts-de-Sei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s v="Picardie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22160202552029"/>
    <s v="2"/>
    <s v="MU"/>
    <s v=""/>
    <n v="18"/>
    <s v="SERVC"/>
    <s v="GRD-F027"/>
    <m/>
    <m/>
    <m/>
    <m/>
    <s v="FC000044"/>
    <s v="2"/>
    <s v="CU"/>
    <m/>
    <n v="18"/>
    <s v=""/>
    <s v="77510"/>
    <s v="Seine-et-Marne"/>
    <s v="Ile-de-France"/>
    <x v="0"/>
    <s v="LINKY"/>
    <n v="2"/>
    <b v="1"/>
    <b v="1"/>
    <b v="0"/>
    <b v="1"/>
    <b v="0"/>
    <b v="0"/>
    <x v="0"/>
    <x v="0"/>
    <n v="0.01"/>
    <n v="0.01"/>
    <m/>
    <m/>
  </r>
  <r>
    <s v="22290159137484"/>
    <s v="1"/>
    <s v="CU"/>
    <s v=""/>
    <n v="9"/>
    <s v="SERVC"/>
    <s v="GRD-F006"/>
    <m/>
    <m/>
    <m/>
    <m/>
    <s v="FC000018"/>
    <s v="1"/>
    <s v="CU"/>
    <m/>
    <n v="9"/>
    <s v=""/>
    <s v="91120"/>
    <s v="Essonne"/>
    <s v="Ile-de-France"/>
    <x v="0"/>
    <s v="LINKY"/>
    <n v="2"/>
    <b v="1"/>
    <b v="1"/>
    <b v="0"/>
    <b v="0"/>
    <b v="0"/>
    <b v="0"/>
    <x v="0"/>
    <x v="0"/>
    <n v="0.01"/>
    <n v="0.01"/>
    <m/>
    <m/>
  </r>
  <r>
    <s v="22575976781746"/>
    <s v="2"/>
    <s v="MU"/>
    <s v=""/>
    <n v="6"/>
    <s v="SERVC"/>
    <s v="GRD-F051"/>
    <m/>
    <m/>
    <m/>
    <m/>
    <s v="FC000142"/>
    <s v="2"/>
    <s v="MU"/>
    <m/>
    <n v="6"/>
    <s v=""/>
    <s v="93600"/>
    <s v="Seine-St-Den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3538060764251"/>
    <s v="1"/>
    <s v="CU"/>
    <s v=""/>
    <n v="6"/>
    <s v="SERVC"/>
    <s v="PROTOC-501"/>
    <m/>
    <m/>
    <m/>
    <m/>
    <s v="FC000010"/>
    <s v="1"/>
    <s v="CU"/>
    <m/>
    <n v="6"/>
    <s v=""/>
    <s v="12000"/>
    <s v="Aveyron"/>
    <s v="Midi-Pyrénées"/>
    <x v="0"/>
    <s v="LINKY"/>
    <n v="2"/>
    <b v="1"/>
    <b v="1"/>
    <b v="0"/>
    <b v="0"/>
    <b v="0"/>
    <b v="0"/>
    <x v="0"/>
    <x v="0"/>
    <n v="0.01"/>
    <n v="0.01"/>
    <m/>
    <m/>
  </r>
  <r>
    <s v="24341099817969"/>
    <s v="1"/>
    <s v="CU"/>
    <s v=""/>
    <n v="6"/>
    <s v="SERVC"/>
    <s v="GRD-F051"/>
    <m/>
    <m/>
    <m/>
    <m/>
    <s v="FC000147"/>
    <s v="1"/>
    <s v="CU"/>
    <m/>
    <n v="6"/>
    <s v=""/>
    <s v="34430"/>
    <s v="Hérault"/>
    <s v="Languedoc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570188123872"/>
    <s v="1"/>
    <s v="CU"/>
    <s v=""/>
    <n v="6"/>
    <s v="SERVC"/>
    <s v="GRD-F001"/>
    <m/>
    <m/>
    <m/>
    <m/>
    <s v="FC000063"/>
    <s v="1"/>
    <s v="CU"/>
    <m/>
    <n v="6"/>
    <s v=""/>
    <s v="30000"/>
    <s v="Gard"/>
    <s v="Languedoc"/>
    <x v="0"/>
    <s v="LINKY"/>
    <n v="2"/>
    <b v="1"/>
    <b v="1"/>
    <b v="0"/>
    <b v="0"/>
    <b v="0"/>
    <b v="0"/>
    <x v="0"/>
    <x v="0"/>
    <n v="0.01"/>
    <n v="0.01"/>
    <m/>
    <m/>
  </r>
  <r>
    <s v="01328943557999"/>
    <s v="1"/>
    <s v="CU"/>
    <s v=""/>
    <n v="6"/>
    <s v="SERVC"/>
    <s v="GRD-F044"/>
    <m/>
    <m/>
    <m/>
    <m/>
    <s v="FC000123"/>
    <s v="1"/>
    <s v="CU"/>
    <m/>
    <n v="6"/>
    <s v=""/>
    <s v="62210"/>
    <s v="Pas-de-Calais"/>
    <s v="Nord"/>
    <x v="0"/>
    <s v="LINKY"/>
    <n v="2"/>
    <b v="1"/>
    <b v="1"/>
    <b v="0"/>
    <b v="0"/>
    <b v="0"/>
    <b v="0"/>
    <x v="0"/>
    <x v="0"/>
    <n v="0.01"/>
    <n v="0.01"/>
    <m/>
    <m/>
  </r>
  <r>
    <s v="14229377680778"/>
    <s v="1"/>
    <s v="CU"/>
    <s v=""/>
    <n v="9"/>
    <s v="SERVC"/>
    <s v="GRD-F051"/>
    <m/>
    <m/>
    <m/>
    <m/>
    <s v="FC000147"/>
    <s v="1"/>
    <s v="CU"/>
    <m/>
    <n v="9"/>
    <s v=""/>
    <s v="4480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54703220809"/>
    <s v="1"/>
    <s v="CU"/>
    <s v=""/>
    <n v="6"/>
    <s v="SERVC"/>
    <s v="GRD-F051"/>
    <m/>
    <m/>
    <m/>
    <m/>
    <s v="FC000147"/>
    <s v="1"/>
    <s v="CU"/>
    <m/>
    <n v="6"/>
    <s v=""/>
    <s v="4470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82199669190"/>
    <s v="2"/>
    <s v="MU"/>
    <s v=""/>
    <n v="12"/>
    <s v="SERVC"/>
    <s v="GRD-F051"/>
    <m/>
    <m/>
    <m/>
    <m/>
    <s v="FC000142"/>
    <s v="2"/>
    <s v="MU"/>
    <m/>
    <n v="12"/>
    <s v=""/>
    <s v="4462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1241099744510"/>
    <s v="1"/>
    <s v="CU"/>
    <s v=""/>
    <n v="6"/>
    <s v="SERVC"/>
    <s v="GRD-F006"/>
    <m/>
    <m/>
    <m/>
    <m/>
    <s v="FC000018"/>
    <s v="1"/>
    <s v="CU"/>
    <m/>
    <n v="6"/>
    <s v=""/>
    <s v="78710"/>
    <s v="Yvelines"/>
    <s v="Ile-de-France"/>
    <x v="0"/>
    <s v="LINKY"/>
    <n v="2"/>
    <b v="1"/>
    <b v="1"/>
    <b v="0"/>
    <b v="0"/>
    <b v="0"/>
    <b v="0"/>
    <x v="0"/>
    <x v="0"/>
    <n v="0.01"/>
    <n v="0.01"/>
    <m/>
    <m/>
  </r>
  <r>
    <s v="21357742276207"/>
    <s v="1"/>
    <s v="CU"/>
    <s v=""/>
    <n v="9"/>
    <s v="SERVC"/>
    <s v="GRD-F006"/>
    <m/>
    <m/>
    <m/>
    <m/>
    <s v="FC000018"/>
    <s v="1"/>
    <s v="CU"/>
    <m/>
    <n v="9"/>
    <s v=""/>
    <s v="92370"/>
    <s v="Hauts-de-Seine"/>
    <s v="Ile-de-France"/>
    <x v="0"/>
    <s v="LINKY"/>
    <n v="2"/>
    <b v="1"/>
    <b v="1"/>
    <b v="0"/>
    <b v="0"/>
    <b v="0"/>
    <b v="0"/>
    <x v="0"/>
    <x v="0"/>
    <n v="0.01"/>
    <n v="0.01"/>
    <m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s v="Picardie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22141244538777"/>
    <s v="2"/>
    <s v="MU"/>
    <s v=""/>
    <n v="12"/>
    <s v="SERVC"/>
    <s v="GRD-F051"/>
    <m/>
    <m/>
    <m/>
    <m/>
    <s v="FC000142"/>
    <s v="2"/>
    <s v="MU"/>
    <m/>
    <n v="12"/>
    <s v=""/>
    <s v="77170"/>
    <s v="Seine-et-Mar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2272503584475"/>
    <s v="1"/>
    <s v="CU"/>
    <s v=""/>
    <n v="6"/>
    <s v="SERVC"/>
    <s v="GRD-F006"/>
    <m/>
    <m/>
    <m/>
    <m/>
    <s v="FC000018"/>
    <s v="1"/>
    <s v="CU"/>
    <m/>
    <n v="6"/>
    <s v=""/>
    <s v="91280"/>
    <s v="Essonne"/>
    <s v="Ile-de-France"/>
    <x v="0"/>
    <s v="LINKY"/>
    <n v="2"/>
    <b v="1"/>
    <b v="1"/>
    <b v="0"/>
    <b v="0"/>
    <b v="0"/>
    <b v="0"/>
    <x v="0"/>
    <x v="0"/>
    <n v="0.01"/>
    <n v="0.01"/>
    <m/>
    <m/>
  </r>
  <r>
    <s v="22296526753898"/>
    <s v="2"/>
    <s v="CU"/>
    <s v=""/>
    <n v="9"/>
    <s v="SERVC"/>
    <s v="GRD-F051"/>
    <m/>
    <m/>
    <m/>
    <m/>
    <s v="FC000142"/>
    <s v="2"/>
    <s v="CU"/>
    <m/>
    <n v="9"/>
    <s v=""/>
    <s v="91140"/>
    <s v="Esson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2297105602548"/>
    <s v="2"/>
    <s v="MU"/>
    <s v=""/>
    <n v="15"/>
    <s v="SERVC"/>
    <s v="GRD-F051"/>
    <m/>
    <m/>
    <m/>
    <m/>
    <s v="FC000142"/>
    <s v="2"/>
    <s v="MU"/>
    <m/>
    <n v="15"/>
    <s v=""/>
    <s v="91450"/>
    <s v="Esson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4115629490508"/>
    <s v="1"/>
    <s v="CU"/>
    <s v=""/>
    <n v="6"/>
    <s v="SERVC"/>
    <s v="GRD-F051"/>
    <m/>
    <m/>
    <m/>
    <m/>
    <s v="FC000147"/>
    <s v="1"/>
    <s v="CU"/>
    <m/>
    <n v="6"/>
    <s v=""/>
    <s v="02200"/>
    <s v="Aisne"/>
    <s v="Picar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367438429128"/>
    <s v="2"/>
    <s v="MU"/>
    <s v=""/>
    <n v="6"/>
    <s v="SERVC"/>
    <s v="GRD-F051"/>
    <m/>
    <m/>
    <m/>
    <m/>
    <s v="FC000142"/>
    <s v="2"/>
    <s v="MU"/>
    <m/>
    <n v="6"/>
    <s v=""/>
    <s v="34000"/>
    <s v="Hérault"/>
    <s v="Languedoc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111432587884"/>
    <s v="1"/>
    <s v="CU"/>
    <s v=""/>
    <n v="6"/>
    <s v="SERVC"/>
    <s v="GRD-F051"/>
    <m/>
    <m/>
    <m/>
    <m/>
    <s v="FC000147"/>
    <s v="1"/>
    <s v="CU"/>
    <m/>
    <n v="6"/>
    <s v=""/>
    <s v="13009"/>
    <s v="Bouches du Rhône"/>
    <s v="Provence-Alpes-Côte d'Azur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283791528239"/>
    <s v="2"/>
    <s v="CU"/>
    <s v=""/>
    <n v="9"/>
    <s v="SERVC"/>
    <s v="PROTOC-501"/>
    <m/>
    <m/>
    <m/>
    <m/>
    <s v="FC000032"/>
    <s v="2"/>
    <s v="MU"/>
    <m/>
    <n v="9"/>
    <s v=""/>
    <s v="13090"/>
    <s v="Bouches du Rhône"/>
    <s v="Provence-Alpes-Côte d'Azur"/>
    <x v="0"/>
    <s v="LINKY"/>
    <n v="2"/>
    <b v="1"/>
    <b v="1"/>
    <b v="0"/>
    <b v="1"/>
    <b v="0"/>
    <b v="0"/>
    <x v="0"/>
    <x v="0"/>
    <n v="0.01"/>
    <n v="0.01"/>
    <m/>
    <m/>
  </r>
  <r>
    <s v="04302315456404"/>
    <s v="1"/>
    <s v="CU"/>
    <s v=""/>
    <n v="6"/>
    <s v="SERVC"/>
    <s v="GRD-F051"/>
    <m/>
    <m/>
    <m/>
    <m/>
    <s v="FC000147"/>
    <s v="1"/>
    <s v="CU"/>
    <m/>
    <n v="6"/>
    <s v=""/>
    <s v="51100"/>
    <s v="Marne"/>
    <s v="Champa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5130969555220"/>
    <s v="2"/>
    <s v="MU"/>
    <s v=""/>
    <n v="6"/>
    <s v="SERVC"/>
    <s v="GRD-F051"/>
    <m/>
    <m/>
    <m/>
    <m/>
    <s v="FC000142"/>
    <s v="2"/>
    <s v="MU"/>
    <m/>
    <n v="6"/>
    <s v=""/>
    <s v="54500"/>
    <s v="Meurthe-et-Moselle"/>
    <s v="Lorrai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5186975397891"/>
    <s v="1"/>
    <s v="CU"/>
    <s v=""/>
    <n v="9"/>
    <s v="SERVC"/>
    <s v="GRD-F051"/>
    <m/>
    <m/>
    <m/>
    <m/>
    <s v="FC000142"/>
    <s v="2"/>
    <s v="MU4"/>
    <m/>
    <n v="6"/>
    <s v=""/>
    <s v="54110"/>
    <s v="Meurthe-et-Moselle"/>
    <s v="Lorraine"/>
    <x v="0"/>
    <s v="LINKY"/>
    <n v="2"/>
    <b v="1"/>
    <b v="0"/>
    <b v="1"/>
    <b v="1"/>
    <b v="0"/>
    <b v="1"/>
    <x v="1"/>
    <x v="1"/>
    <n v="0"/>
    <n v="0"/>
    <s v="Le contrat cible et le contrat source sont identiques"/>
    <m/>
  </r>
  <r>
    <s v="05410998508420"/>
    <s v="1"/>
    <s v="CU"/>
    <s v=""/>
    <n v="6"/>
    <s v="SERVC"/>
    <s v="GRD-F006"/>
    <m/>
    <m/>
    <m/>
    <m/>
    <s v="FC000018"/>
    <s v="1"/>
    <s v="CU"/>
    <m/>
    <n v="6"/>
    <s v=""/>
    <s v="88100"/>
    <s v="Vosges"/>
    <s v="Lorraine"/>
    <x v="0"/>
    <s v="LINKY"/>
    <n v="2"/>
    <b v="1"/>
    <b v="1"/>
    <b v="0"/>
    <b v="0"/>
    <b v="0"/>
    <b v="0"/>
    <x v="0"/>
    <x v="0"/>
    <n v="0.01"/>
    <n v="0.01"/>
    <m/>
    <m/>
  </r>
  <r>
    <s v="06305354513287"/>
    <s v="1"/>
    <s v="CU"/>
    <s v=""/>
    <n v="6"/>
    <s v="SERVC"/>
    <s v="GRD-F051"/>
    <m/>
    <m/>
    <m/>
    <m/>
    <s v="FC000147"/>
    <s v="1"/>
    <s v="CU"/>
    <m/>
    <n v="6"/>
    <s v=""/>
    <s v="68260"/>
    <s v="Haut-Rhin"/>
    <s v="Alsa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6537047747086"/>
    <s v="2"/>
    <s v="CU"/>
    <s v=""/>
    <n v="6"/>
    <s v="SERVC"/>
    <s v="GRD-F062"/>
    <m/>
    <m/>
    <m/>
    <m/>
    <s v="FC000178"/>
    <s v="2"/>
    <s v="MU"/>
    <m/>
    <n v="6"/>
    <s v=""/>
    <s v="25000"/>
    <s v="Doubs"/>
    <s v="Franche-Comté"/>
    <x v="0"/>
    <s v="LINKY"/>
    <n v="2"/>
    <b v="1"/>
    <b v="1"/>
    <b v="0"/>
    <b v="1"/>
    <b v="0"/>
    <b v="0"/>
    <x v="0"/>
    <x v="0"/>
    <n v="0.01"/>
    <n v="0.01"/>
    <m/>
    <m/>
  </r>
  <r>
    <s v="07238205427113"/>
    <s v="2"/>
    <s v="CU"/>
    <s v=""/>
    <n v="12"/>
    <s v="SERVC"/>
    <s v="GRD-F051"/>
    <m/>
    <m/>
    <m/>
    <m/>
    <s v="FC000142"/>
    <s v="2"/>
    <s v="CU"/>
    <m/>
    <n v="12"/>
    <s v=""/>
    <s v="75011"/>
    <s v="Par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327930534139"/>
    <s v="2"/>
    <s v="MU"/>
    <s v=""/>
    <n v="12"/>
    <s v="SERVC"/>
    <s v="GRD-F027"/>
    <m/>
    <m/>
    <m/>
    <m/>
    <s v="FC000044"/>
    <s v="2"/>
    <s v="MU"/>
    <m/>
    <n v="12"/>
    <s v=""/>
    <s v="85750"/>
    <s v="Vendé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14419970954350"/>
    <s v="2"/>
    <s v="MU"/>
    <s v=""/>
    <n v="6"/>
    <s v="SERVC"/>
    <s v="PROTOC-501"/>
    <m/>
    <m/>
    <m/>
    <m/>
    <s v="FC000032"/>
    <s v="2"/>
    <s v="MU"/>
    <m/>
    <n v="6"/>
    <s v=""/>
    <s v="35480"/>
    <s v="Ille-et-Vilaine"/>
    <s v="Bretagne"/>
    <x v="0"/>
    <s v="LINKY"/>
    <n v="2"/>
    <b v="1"/>
    <b v="1"/>
    <b v="0"/>
    <b v="0"/>
    <b v="0"/>
    <b v="0"/>
    <x v="0"/>
    <x v="0"/>
    <n v="0.01"/>
    <n v="0.01"/>
    <m/>
    <m/>
  </r>
  <r>
    <s v="14489001381437"/>
    <s v="1"/>
    <s v="CU"/>
    <s v=""/>
    <n v="6"/>
    <s v="SERVC"/>
    <s v="GRD-F027"/>
    <m/>
    <m/>
    <m/>
    <m/>
    <s v="FC000022"/>
    <s v="1"/>
    <s v="CU"/>
    <m/>
    <n v="6"/>
    <s v=""/>
    <s v="35370"/>
    <s v="Ille-et-Vilaine"/>
    <s v="Bretagne"/>
    <x v="0"/>
    <s v="LINKY"/>
    <n v="2"/>
    <b v="1"/>
    <b v="1"/>
    <b v="0"/>
    <b v="0"/>
    <b v="0"/>
    <b v="0"/>
    <x v="0"/>
    <x v="0"/>
    <n v="0.01"/>
    <n v="0.01"/>
    <m/>
    <m/>
  </r>
  <r>
    <s v="01535889989399"/>
    <s v="2"/>
    <s v="MU"/>
    <s v=""/>
    <n v="6"/>
    <s v="SERVC"/>
    <s v="GRD-F006"/>
    <m/>
    <m/>
    <m/>
    <m/>
    <s v="FC000040"/>
    <s v="2"/>
    <s v="MU"/>
    <m/>
    <n v="6"/>
    <s v=""/>
    <s v="59495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14640086780989"/>
    <s v="1"/>
    <s v="CU"/>
    <s v=""/>
    <n v="6"/>
    <s v="SERVC"/>
    <s v="GRD-F003"/>
    <m/>
    <m/>
    <m/>
    <m/>
    <s v="FC000010"/>
    <s v="1"/>
    <s v="CU"/>
    <m/>
    <n v="6"/>
    <s v=""/>
    <s v="29200"/>
    <s v="Finistère"/>
    <s v="Bretagne"/>
    <x v="0"/>
    <s v="LINKY"/>
    <n v="2"/>
    <b v="1"/>
    <b v="1"/>
    <b v="0"/>
    <b v="0"/>
    <b v="0"/>
    <b v="0"/>
    <x v="0"/>
    <x v="0"/>
    <n v="0.01"/>
    <n v="0.01"/>
    <m/>
    <m/>
  </r>
  <r>
    <s v="14807235857727"/>
    <s v="2"/>
    <s v="MU"/>
    <s v=""/>
    <n v="9"/>
    <s v="SERVC"/>
    <s v="PROTOC-501"/>
    <m/>
    <m/>
    <m/>
    <m/>
    <s v="FC000032"/>
    <s v="2"/>
    <s v="MU"/>
    <m/>
    <n v="9"/>
    <s v=""/>
    <s v="56750"/>
    <s v="Morbihan"/>
    <s v="Bretagne"/>
    <x v="0"/>
    <s v="LINKY"/>
    <n v="2"/>
    <b v="1"/>
    <b v="1"/>
    <b v="0"/>
    <b v="0"/>
    <b v="0"/>
    <b v="0"/>
    <x v="0"/>
    <x v="0"/>
    <n v="0.01"/>
    <n v="0.01"/>
    <m/>
    <m/>
  </r>
  <r>
    <s v="15253979656309"/>
    <s v="2"/>
    <s v="MU"/>
    <s v=""/>
    <n v="9"/>
    <s v="SERVC"/>
    <s v="PROTOC-501"/>
    <m/>
    <m/>
    <m/>
    <m/>
    <s v="FC000032"/>
    <s v="2"/>
    <s v="MU"/>
    <m/>
    <n v="9"/>
    <s v=""/>
    <s v="17320"/>
    <s v="Charente Maritime"/>
    <s v="Poitou-Charente"/>
    <x v="0"/>
    <s v="LINKY"/>
    <n v="2"/>
    <b v="1"/>
    <b v="1"/>
    <b v="0"/>
    <b v="0"/>
    <b v="0"/>
    <b v="0"/>
    <x v="0"/>
    <x v="0"/>
    <n v="0.01"/>
    <n v="0.01"/>
    <m/>
    <m/>
  </r>
  <r>
    <s v="17115774224342"/>
    <s v="1"/>
    <s v="CU"/>
    <s v=""/>
    <n v="6"/>
    <s v="SERVC"/>
    <s v="GRD-F051"/>
    <m/>
    <m/>
    <m/>
    <m/>
    <s v="FC000147"/>
    <s v="1"/>
    <s v="CU"/>
    <m/>
    <n v="6"/>
    <s v=""/>
    <s v="63115"/>
    <s v="Puy-de-Dôme"/>
    <s v="Auver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7183357354401"/>
    <s v="2"/>
    <s v="CU"/>
    <s v=""/>
    <n v="9"/>
    <s v="SERVC"/>
    <s v="GRD-F051"/>
    <m/>
    <m/>
    <m/>
    <m/>
    <s v="FC000142"/>
    <s v="2"/>
    <s v="MU"/>
    <m/>
    <n v="9"/>
    <s v=""/>
    <s v="63200"/>
    <s v="Puy-de-Dôme"/>
    <s v="Auvergne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19467149014458"/>
    <s v="1"/>
    <s v="CU"/>
    <s v=""/>
    <n v="18"/>
    <s v="SERVC"/>
    <s v="GRD-F051"/>
    <m/>
    <m/>
    <m/>
    <m/>
    <s v="FC000147"/>
    <s v="1"/>
    <s v="CU"/>
    <m/>
    <n v="18"/>
    <s v=""/>
    <s v="69290"/>
    <s v="Rhône"/>
    <s v="Rhône-Alp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9786107074902"/>
    <s v="1"/>
    <s v="CU"/>
    <s v=""/>
    <n v="9"/>
    <s v="SERVC"/>
    <s v="GRD-F006"/>
    <m/>
    <m/>
    <m/>
    <m/>
    <s v="FC000018"/>
    <s v="1"/>
    <s v="CU"/>
    <m/>
    <n v="9"/>
    <s v=""/>
    <s v="26200"/>
    <s v="Drôme"/>
    <s v="Rhône-Alpes"/>
    <x v="0"/>
    <s v="LINKY"/>
    <n v="2"/>
    <b v="1"/>
    <b v="1"/>
    <b v="0"/>
    <b v="0"/>
    <b v="0"/>
    <b v="0"/>
    <x v="0"/>
    <x v="0"/>
    <n v="0.01"/>
    <n v="0.01"/>
    <m/>
    <m/>
  </r>
  <r>
    <s v="19882633840580"/>
    <s v="1"/>
    <s v="CU"/>
    <s v=""/>
    <n v="6"/>
    <s v="SERVC"/>
    <s v="GRD-F051"/>
    <m/>
    <m/>
    <m/>
    <m/>
    <s v="FC000147"/>
    <s v="1"/>
    <s v="CU"/>
    <m/>
    <n v="6"/>
    <s v=""/>
    <s v="42650"/>
    <s v="Loire"/>
    <s v="Rhône-Alp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2165846586613"/>
    <s v="2"/>
    <s v="MU"/>
    <s v=""/>
    <n v="9"/>
    <s v="SERVC"/>
    <s v="GRD-F051"/>
    <m/>
    <m/>
    <m/>
    <m/>
    <s v="FC000142"/>
    <s v="2"/>
    <s v="MU"/>
    <m/>
    <n v="9"/>
    <s v=""/>
    <s v="76800"/>
    <s v="Seine-Maritime"/>
    <s v="Haute-Norman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2432561503494"/>
    <s v="1"/>
    <s v="CU"/>
    <s v=""/>
    <n v="6"/>
    <s v="SERVC"/>
    <s v="GRD-F051"/>
    <m/>
    <m/>
    <m/>
    <m/>
    <s v="FC000147"/>
    <s v="1"/>
    <s v="CU"/>
    <m/>
    <n v="6"/>
    <s v=""/>
    <s v="14000"/>
    <s v="Calvados"/>
    <s v="Basse-Norman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506078044860"/>
    <s v="1"/>
    <s v="CU"/>
    <s v=""/>
    <n v="9"/>
    <s v="SERVC"/>
    <s v="GRD-F051"/>
    <m/>
    <m/>
    <m/>
    <m/>
    <s v="FC000147"/>
    <s v="1"/>
    <s v="CU"/>
    <m/>
    <n v="9"/>
    <s v=""/>
    <s v="34160"/>
    <s v="Hérault"/>
    <s v="Languedoc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528075197635"/>
    <s v="1"/>
    <s v="CU"/>
    <s v=""/>
    <n v="9"/>
    <s v="SERVC"/>
    <s v="GRD-F006"/>
    <m/>
    <m/>
    <m/>
    <m/>
    <s v="FC000018"/>
    <s v="1"/>
    <s v="CU"/>
    <m/>
    <n v="9"/>
    <s v=""/>
    <s v="30900"/>
    <s v="Gard"/>
    <s v="Languedoc"/>
    <x v="0"/>
    <s v="LINKY"/>
    <n v="2"/>
    <b v="1"/>
    <b v="1"/>
    <b v="0"/>
    <b v="0"/>
    <b v="0"/>
    <b v="0"/>
    <x v="0"/>
    <x v="0"/>
    <n v="0.01"/>
    <n v="0.01"/>
    <m/>
    <m/>
  </r>
  <r>
    <s v="25348769848340"/>
    <s v="1"/>
    <s v="CU"/>
    <s v=""/>
    <n v="6"/>
    <s v="SERVC"/>
    <s v="GRD-F051"/>
    <m/>
    <m/>
    <m/>
    <m/>
    <s v="FC000147"/>
    <s v="1"/>
    <s v="CU"/>
    <m/>
    <n v="6"/>
    <s v=""/>
    <s v="83130"/>
    <s v="Var"/>
    <s v="Provence-Alpes-Côte d'Azur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922865364821"/>
    <s v="1"/>
    <s v="CU"/>
    <s v=""/>
    <n v="3"/>
    <s v="SERVC"/>
    <s v="PROTOC-501"/>
    <m/>
    <m/>
    <m/>
    <m/>
    <s v="FC000010"/>
    <s v="1"/>
    <s v="CU"/>
    <m/>
    <n v="18"/>
    <s v=""/>
    <s v="06130"/>
    <s v="Alpes-Maritimes"/>
    <s v="Provence-Alpes-Côte d'Azur"/>
    <x v="0"/>
    <s v="CBE"/>
    <n v="0"/>
    <b v="0"/>
    <b v="1"/>
    <b v="0"/>
    <b v="0"/>
    <b v="0"/>
    <b v="1"/>
    <x v="0"/>
    <x v="2"/>
    <n v="0.01"/>
    <n v="1"/>
    <m/>
    <s v="Changement de structure tarifaire sur compteur CBE"/>
  </r>
  <r>
    <s v="04328798808850"/>
    <s v="1"/>
    <s v="CU"/>
    <s v=""/>
    <n v="6"/>
    <s v="SERVC"/>
    <s v="GRD-F051"/>
    <m/>
    <m/>
    <m/>
    <m/>
    <s v="FC000147"/>
    <s v="1"/>
    <s v="CU"/>
    <m/>
    <n v="6"/>
    <s v=""/>
    <s v="51370"/>
    <s v="Marne"/>
    <s v="Champa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5201591875504"/>
    <s v="2"/>
    <s v="MU"/>
    <s v=""/>
    <n v="6"/>
    <s v="SERVC"/>
    <s v="GRD-F027"/>
    <m/>
    <m/>
    <m/>
    <m/>
    <s v="FC000044"/>
    <s v="2"/>
    <s v="MU"/>
    <m/>
    <n v="6"/>
    <s v=""/>
    <s v="55500"/>
    <s v="Meuse"/>
    <s v="Lorraine"/>
    <x v="0"/>
    <s v="LINKY"/>
    <n v="2"/>
    <b v="1"/>
    <b v="1"/>
    <b v="0"/>
    <b v="0"/>
    <b v="0"/>
    <b v="0"/>
    <x v="0"/>
    <x v="0"/>
    <n v="0.01"/>
    <n v="0.01"/>
    <m/>
    <m/>
  </r>
  <r>
    <s v="05282633852284"/>
    <s v="2"/>
    <s v="CU"/>
    <s v=""/>
    <n v="12"/>
    <s v="SERVC"/>
    <s v="PROTOC-501"/>
    <m/>
    <m/>
    <m/>
    <m/>
    <s v="FC000032"/>
    <s v="2"/>
    <s v="MU4"/>
    <m/>
    <n v="12"/>
    <s v=""/>
    <s v="52000"/>
    <s v="Haute-Marne"/>
    <s v="Champagne"/>
    <x v="0"/>
    <s v="LINKY"/>
    <n v="2"/>
    <b v="1"/>
    <b v="1"/>
    <b v="0"/>
    <b v="1"/>
    <b v="0"/>
    <b v="0"/>
    <x v="0"/>
    <x v="0"/>
    <n v="0.01"/>
    <n v="0.01"/>
    <m/>
    <m/>
  </r>
  <r>
    <s v="05520115707256"/>
    <s v="1"/>
    <s v="CU"/>
    <s v=""/>
    <n v="6"/>
    <s v="SERVC"/>
    <s v="GRD-F051"/>
    <m/>
    <m/>
    <m/>
    <m/>
    <s v="FC000147"/>
    <s v="1"/>
    <s v="CU"/>
    <m/>
    <n v="6"/>
    <s v=""/>
    <s v="57220"/>
    <s v="Moselle"/>
    <s v="Lorrai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6321852327986"/>
    <s v="2"/>
    <s v="MU"/>
    <s v=""/>
    <n v="15"/>
    <s v="SERVC"/>
    <s v="PROTOC-501"/>
    <m/>
    <m/>
    <m/>
    <m/>
    <s v="FC000032"/>
    <s v="2"/>
    <s v="MU"/>
    <m/>
    <n v="15"/>
    <s v=""/>
    <s v="68970"/>
    <s v="Haut-Rhin"/>
    <s v="Alsace"/>
    <x v="0"/>
    <s v="LINKY"/>
    <n v="2"/>
    <b v="1"/>
    <b v="1"/>
    <b v="0"/>
    <b v="0"/>
    <b v="0"/>
    <b v="0"/>
    <x v="0"/>
    <x v="0"/>
    <n v="0.01"/>
    <n v="0.01"/>
    <m/>
    <m/>
  </r>
  <r>
    <s v="24503039046820"/>
    <s v="1"/>
    <s v="CU"/>
    <s v=""/>
    <n v="6"/>
    <s v="SERVC"/>
    <s v="GRD-F006"/>
    <m/>
    <m/>
    <m/>
    <m/>
    <s v="FC000018"/>
    <s v="1"/>
    <s v="CU"/>
    <m/>
    <n v="6"/>
    <s v=""/>
    <s v="30900"/>
    <s v="Gard"/>
    <s v="Languedoc"/>
    <x v="0"/>
    <s v="LINKY"/>
    <n v="2"/>
    <b v="1"/>
    <b v="1"/>
    <b v="0"/>
    <b v="0"/>
    <b v="0"/>
    <b v="0"/>
    <x v="0"/>
    <x v="0"/>
    <n v="0.01"/>
    <n v="0.01"/>
    <m/>
    <m/>
  </r>
  <r>
    <s v="04230390720150"/>
    <s v="2"/>
    <s v="MU"/>
    <s v=""/>
    <n v="9"/>
    <s v="SERVC"/>
    <s v="GRD-F051"/>
    <m/>
    <m/>
    <m/>
    <m/>
    <s v="FC000142"/>
    <s v="2"/>
    <s v="MU"/>
    <m/>
    <n v="9"/>
    <s v=""/>
    <s v="08000"/>
    <s v="Ardennes"/>
    <s v="Champa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159478956441"/>
    <s v="2"/>
    <s v="CU"/>
    <s v=""/>
    <n v="9"/>
    <s v="SERVC"/>
    <s v="GRD-F027"/>
    <m/>
    <m/>
    <m/>
    <m/>
    <s v="FC000044"/>
    <s v="2"/>
    <s v="MU"/>
    <m/>
    <n v="9"/>
    <s v=""/>
    <s v="13013"/>
    <s v="Bouches du Rhône"/>
    <s v="Provence-Alpes-Côte d'Azur"/>
    <x v="0"/>
    <s v="LINKY"/>
    <n v="2"/>
    <b v="1"/>
    <b v="1"/>
    <b v="0"/>
    <b v="1"/>
    <b v="0"/>
    <b v="0"/>
    <x v="0"/>
    <x v="0"/>
    <n v="0.01"/>
    <n v="0.01"/>
    <m/>
    <m/>
  </r>
  <r>
    <s v="25479015895687"/>
    <s v="2"/>
    <s v="CU"/>
    <s v=""/>
    <n v="6"/>
    <s v="SERVC"/>
    <s v="GRD-F051"/>
    <m/>
    <m/>
    <m/>
    <m/>
    <s v="FC000142"/>
    <s v="2"/>
    <s v="CU"/>
    <m/>
    <n v="6"/>
    <s v=""/>
    <s v="06500"/>
    <s v="Alpes-Maritimes"/>
    <s v="Provence-Alpes-Côte d'Azur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5131548466509"/>
    <s v="1"/>
    <s v="CU"/>
    <s v=""/>
    <n v="6"/>
    <s v="SERVC"/>
    <s v="GRD-F051"/>
    <m/>
    <m/>
    <m/>
    <m/>
    <s v="FC000147"/>
    <s v="1"/>
    <s v="CU"/>
    <m/>
    <n v="6"/>
    <s v=""/>
    <s v="54250"/>
    <s v="Meurthe-et-Moselle"/>
    <s v="Lorrai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233719188108"/>
    <s v="1"/>
    <s v="CU"/>
    <s v=""/>
    <n v="6"/>
    <s v="SERVC"/>
    <s v="GRD-F027"/>
    <m/>
    <m/>
    <m/>
    <m/>
    <s v="FC000022"/>
    <s v="1"/>
    <s v="CU"/>
    <m/>
    <n v="6"/>
    <s v=""/>
    <s v="593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7181765502251"/>
    <s v="2"/>
    <s v="MU"/>
    <s v=""/>
    <n v="6"/>
    <s v="SERVC"/>
    <s v="GRD-F051"/>
    <m/>
    <m/>
    <m/>
    <m/>
    <s v="FC000142"/>
    <s v="2"/>
    <s v="MU"/>
    <m/>
    <n v="6"/>
    <s v=""/>
    <s v="75010"/>
    <s v="Par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246020233334"/>
    <s v="1"/>
    <s v="CU"/>
    <s v=""/>
    <n v="9"/>
    <s v="SERVC"/>
    <s v="GRD-F027"/>
    <m/>
    <m/>
    <m/>
    <m/>
    <s v="FC000022"/>
    <s v="1"/>
    <s v="CU"/>
    <m/>
    <n v="9"/>
    <s v=""/>
    <s v="593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9535600521688"/>
    <s v="2"/>
    <s v="MU"/>
    <s v=""/>
    <n v="6"/>
    <s v="SERVC"/>
    <s v="GRD-F027"/>
    <m/>
    <m/>
    <m/>
    <m/>
    <s v="FC000044"/>
    <s v="2"/>
    <s v="MU"/>
    <m/>
    <n v="6"/>
    <s v=""/>
    <s v="45000"/>
    <s v="Loiret"/>
    <s v="Centre"/>
    <x v="0"/>
    <s v="LINKY"/>
    <n v="1"/>
    <b v="1"/>
    <b v="1"/>
    <b v="0"/>
    <b v="0"/>
    <b v="0"/>
    <b v="0"/>
    <x v="0"/>
    <x v="0"/>
    <n v="0.01"/>
    <n v="0.01"/>
    <m/>
    <m/>
  </r>
  <r>
    <s v="12108104179215"/>
    <s v="1"/>
    <s v="CU"/>
    <s v=""/>
    <n v="9"/>
    <s v="SERVC"/>
    <s v="GRD-F051"/>
    <m/>
    <m/>
    <m/>
    <m/>
    <s v="FC000142"/>
    <s v="2"/>
    <s v="MU"/>
    <m/>
    <n v="9"/>
    <s v=""/>
    <s v="71110"/>
    <s v="Saône-et-Loire"/>
    <s v="Bourgogne"/>
    <x v="0"/>
    <s v="CBE"/>
    <n v="0"/>
    <b v="0"/>
    <b v="0"/>
    <b v="1"/>
    <b v="1"/>
    <b v="0"/>
    <b v="0"/>
    <x v="1"/>
    <x v="1"/>
    <n v="0"/>
    <n v="0"/>
    <s v="Le contrat cible et le contrat source sont identiques"/>
    <m/>
  </r>
  <r>
    <s v="12137771284298"/>
    <s v="1"/>
    <s v="CU"/>
    <s v=""/>
    <n v="6"/>
    <s v="SERVC"/>
    <s v="GRD-F027"/>
    <m/>
    <m/>
    <m/>
    <m/>
    <s v="FC000022"/>
    <s v="1"/>
    <s v="CU"/>
    <m/>
    <n v="6"/>
    <s v=""/>
    <s v="71118"/>
    <s v="Saône-et-Loire"/>
    <s v="Bourgogne"/>
    <x v="0"/>
    <s v="LINKY"/>
    <n v="2"/>
    <b v="1"/>
    <b v="1"/>
    <b v="0"/>
    <b v="0"/>
    <b v="0"/>
    <b v="0"/>
    <x v="0"/>
    <x v="0"/>
    <n v="0.01"/>
    <n v="0.01"/>
    <m/>
    <m/>
  </r>
  <r>
    <s v="12169030330605"/>
    <s v="1"/>
    <s v="CU"/>
    <s v=""/>
    <n v="6"/>
    <s v="SERVC"/>
    <s v="GRD-F051"/>
    <m/>
    <m/>
    <m/>
    <m/>
    <s v="FC000147"/>
    <s v="1"/>
    <s v="CU"/>
    <m/>
    <n v="6"/>
    <s v=""/>
    <s v="71230"/>
    <s v="Saône-et-Loire"/>
    <s v="Bourgo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2201447124473"/>
    <s v="1"/>
    <s v="CU"/>
    <s v=""/>
    <n v="6"/>
    <s v="SERVC"/>
    <s v="GRD-F006"/>
    <m/>
    <m/>
    <m/>
    <m/>
    <s v="FC000018"/>
    <s v="1"/>
    <s v="CU"/>
    <m/>
    <n v="6"/>
    <s v=""/>
    <s v="21850"/>
    <s v="Côte d'Or"/>
    <s v="Bourgogne"/>
    <x v="0"/>
    <s v="LINKY"/>
    <n v="2"/>
    <b v="1"/>
    <b v="1"/>
    <b v="0"/>
    <b v="0"/>
    <b v="0"/>
    <b v="0"/>
    <x v="0"/>
    <x v="0"/>
    <n v="0.01"/>
    <n v="0.01"/>
    <m/>
    <m/>
  </r>
  <r>
    <s v="01152677212232"/>
    <s v="1"/>
    <s v="CU"/>
    <s v=""/>
    <n v="9"/>
    <s v="SERVC"/>
    <s v="GRD-F051"/>
    <m/>
    <m/>
    <m/>
    <m/>
    <s v="FC000147"/>
    <s v="1"/>
    <s v="CU"/>
    <m/>
    <n v="9"/>
    <s v=""/>
    <s v="59000"/>
    <s v="Nord"/>
    <s v="Nord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216497820945"/>
    <s v="2"/>
    <s v="MU"/>
    <s v=""/>
    <n v="9"/>
    <s v="SERVC"/>
    <s v="GRD-F051"/>
    <m/>
    <m/>
    <m/>
    <m/>
    <s v="FC000142"/>
    <s v="2"/>
    <s v="MU"/>
    <m/>
    <n v="9"/>
    <s v=""/>
    <s v="59970"/>
    <s v="Nord"/>
    <s v="Nord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779739484200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s v="Cent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258031762342"/>
    <s v="1"/>
    <s v="CU"/>
    <s v=""/>
    <n v="12"/>
    <s v="SERVC"/>
    <s v="GRD-F051"/>
    <m/>
    <m/>
    <m/>
    <m/>
    <s v="FC000147"/>
    <s v="1"/>
    <s v="CU"/>
    <m/>
    <n v="12"/>
    <s v=""/>
    <s v="59230"/>
    <s v="Nord"/>
    <s v="Nord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2183502155970"/>
    <s v="1"/>
    <s v="CU"/>
    <s v=""/>
    <n v="9"/>
    <s v="SERVC"/>
    <s v="PROTOC-501"/>
    <m/>
    <m/>
    <m/>
    <m/>
    <s v="FC000010"/>
    <s v="1"/>
    <s v="CU"/>
    <m/>
    <n v="9"/>
    <s v=""/>
    <s v="71450"/>
    <s v="Saône-et-Loire"/>
    <s v="Bourgogne"/>
    <x v="0"/>
    <s v="LINKY"/>
    <n v="2"/>
    <b v="1"/>
    <b v="1"/>
    <b v="0"/>
    <b v="0"/>
    <b v="0"/>
    <b v="0"/>
    <x v="0"/>
    <x v="0"/>
    <n v="0.01"/>
    <n v="0.01"/>
    <m/>
    <m/>
  </r>
  <r>
    <s v="12220984029366"/>
    <s v="1"/>
    <s v="CU"/>
    <s v=""/>
    <n v="6"/>
    <s v="SERVC"/>
    <s v="GRD-F051"/>
    <m/>
    <m/>
    <m/>
    <m/>
    <s v="FC000147"/>
    <s v="1"/>
    <s v="CU"/>
    <m/>
    <n v="6"/>
    <s v=""/>
    <s v="21000"/>
    <s v="Côte d'Or"/>
    <s v="Bourgo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14616307966"/>
    <s v="2"/>
    <s v="CU"/>
    <s v=""/>
    <n v="12"/>
    <s v="SERVC"/>
    <s v="GRD-F006"/>
    <m/>
    <m/>
    <m/>
    <m/>
    <s v="FC000040"/>
    <s v="2"/>
    <s v="MU"/>
    <m/>
    <n v="12"/>
    <s v=""/>
    <s v="44860"/>
    <s v="Loire-Atlantique"/>
    <s v="Pays-de-la-Loire"/>
    <x v="0"/>
    <s v="LINKY"/>
    <n v="2"/>
    <b v="1"/>
    <b v="1"/>
    <b v="0"/>
    <b v="1"/>
    <b v="0"/>
    <b v="0"/>
    <x v="0"/>
    <x v="0"/>
    <n v="0.01"/>
    <n v="0.01"/>
    <m/>
    <m/>
  </r>
  <r>
    <s v="14234732230706"/>
    <s v="1"/>
    <s v="CU"/>
    <s v=""/>
    <n v="6"/>
    <s v="SERVC"/>
    <s v="GRD-F051"/>
    <m/>
    <m/>
    <m/>
    <m/>
    <s v="FC000147"/>
    <s v="1"/>
    <s v="CU"/>
    <m/>
    <n v="6"/>
    <s v=""/>
    <s v="4462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1267438471755"/>
    <s v="2"/>
    <s v="CU"/>
    <s v=""/>
    <n v="15"/>
    <s v="SERVC"/>
    <s v="GRD-F027"/>
    <m/>
    <m/>
    <m/>
    <m/>
    <s v="FC000044"/>
    <s v="2"/>
    <s v="CU"/>
    <m/>
    <n v="15"/>
    <s v=""/>
    <s v="78980"/>
    <s v="Yvelines"/>
    <s v="Ile-de-France"/>
    <x v="0"/>
    <s v="LINKY"/>
    <n v="2"/>
    <b v="1"/>
    <b v="1"/>
    <b v="0"/>
    <b v="0"/>
    <b v="0"/>
    <b v="0"/>
    <x v="0"/>
    <x v="0"/>
    <n v="0.01"/>
    <n v="0.01"/>
    <m/>
    <m/>
  </r>
  <r>
    <s v="22203328447220"/>
    <s v="2"/>
    <s v="CU"/>
    <s v=""/>
    <n v="15"/>
    <s v="SERVC"/>
    <s v="GRD-F051"/>
    <m/>
    <m/>
    <m/>
    <m/>
    <s v="FC000142"/>
    <s v="2"/>
    <s v="CU"/>
    <m/>
    <n v="15"/>
    <s v=""/>
    <s v="91140"/>
    <s v="Esson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2483502142714"/>
    <s v="1"/>
    <s v="CU"/>
    <s v=""/>
    <n v="9"/>
    <s v="SERVC"/>
    <s v="GRD-F051"/>
    <m/>
    <m/>
    <m/>
    <m/>
    <s v="FC000147"/>
    <s v="1"/>
    <s v="CU"/>
    <m/>
    <n v="9"/>
    <s v=""/>
    <s v="93160"/>
    <s v="Seine-St-Den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3187554184220"/>
    <s v="1"/>
    <s v="CU"/>
    <s v=""/>
    <n v="9"/>
    <s v="SERVC"/>
    <s v="GRD-F051"/>
    <m/>
    <m/>
    <m/>
    <m/>
    <s v="FC000147"/>
    <s v="1"/>
    <s v="CU"/>
    <m/>
    <n v="9"/>
    <s v=""/>
    <s v="31300"/>
    <s v="Haute-Garonne"/>
    <s v="Midi-Pyréné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3237915960863"/>
    <s v="1"/>
    <s v="CU"/>
    <s v=""/>
    <n v="6"/>
    <s v="SERVC"/>
    <s v="GRD-F051"/>
    <m/>
    <m/>
    <m/>
    <m/>
    <s v="FC000147"/>
    <s v="1"/>
    <s v="MU4"/>
    <m/>
    <n v="6"/>
    <s v=""/>
    <s v="81150"/>
    <s v="Tarn"/>
    <s v="Midi-Pyrénées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23268306795686"/>
    <s v="2"/>
    <s v="CU"/>
    <s v=""/>
    <n v="18"/>
    <s v="SERVC"/>
    <s v="GRD-F051"/>
    <m/>
    <m/>
    <m/>
    <m/>
    <s v="FC000142"/>
    <s v="2"/>
    <s v="CU"/>
    <m/>
    <n v="18"/>
    <s v=""/>
    <s v="81100"/>
    <s v="Tarn"/>
    <s v="Midi-Pyréné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390882606201"/>
    <s v="1"/>
    <s v="CU"/>
    <s v=""/>
    <n v="6"/>
    <s v="SERVC"/>
    <s v="GRD-F051"/>
    <m/>
    <m/>
    <m/>
    <m/>
    <s v="FC000147"/>
    <s v="1"/>
    <s v="CU"/>
    <m/>
    <n v="6"/>
    <s v=""/>
    <s v="34070"/>
    <s v="Hérault"/>
    <s v="Languedoc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2110853805435"/>
    <s v="2"/>
    <s v="CU"/>
    <s v=""/>
    <n v="6"/>
    <s v="SERVC"/>
    <s v="GRD-F027"/>
    <m/>
    <m/>
    <m/>
    <m/>
    <s v="FC000044"/>
    <s v="2"/>
    <s v="CU"/>
    <m/>
    <n v="6"/>
    <s v=""/>
    <s v="71200"/>
    <s v="Saône-et-Loire"/>
    <s v="Bourgogne"/>
    <x v="0"/>
    <s v="LINKY"/>
    <n v="2"/>
    <b v="1"/>
    <b v="1"/>
    <b v="0"/>
    <b v="0"/>
    <b v="0"/>
    <b v="0"/>
    <x v="0"/>
    <x v="0"/>
    <n v="0.01"/>
    <n v="0.01"/>
    <m/>
    <m/>
  </r>
  <r>
    <s v="14206656951307"/>
    <s v="2"/>
    <s v="MU"/>
    <s v=""/>
    <n v="15"/>
    <s v="SERVC"/>
    <s v="GRD-F051"/>
    <m/>
    <m/>
    <m/>
    <m/>
    <s v="FC000142"/>
    <s v="2"/>
    <s v="MU"/>
    <m/>
    <n v="15"/>
    <s v=""/>
    <s v="4480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95802994699"/>
    <s v="1"/>
    <s v="CU"/>
    <s v=""/>
    <n v="6"/>
    <s v="SERVC"/>
    <s v="GRD-F006"/>
    <m/>
    <m/>
    <m/>
    <m/>
    <s v="FC000018"/>
    <s v="1"/>
    <s v="CU"/>
    <m/>
    <n v="6"/>
    <s v=""/>
    <s v="44340"/>
    <s v="Loire-Atlantiqu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14356584595606"/>
    <s v="1"/>
    <s v="CU"/>
    <s v=""/>
    <n v="6"/>
    <s v="SERVC"/>
    <s v="GRD-F027"/>
    <m/>
    <m/>
    <m/>
    <m/>
    <s v="FC000022"/>
    <s v="1"/>
    <s v="CU"/>
    <m/>
    <n v="6"/>
    <s v=""/>
    <s v="85600"/>
    <s v="Vendé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14453690288654"/>
    <s v="1"/>
    <s v="CU"/>
    <s v=""/>
    <n v="6"/>
    <s v="SERVC"/>
    <s v="PROTOC-501"/>
    <m/>
    <m/>
    <m/>
    <m/>
    <s v="FC000010"/>
    <s v="1"/>
    <s v="MU4"/>
    <m/>
    <n v="6"/>
    <s v=""/>
    <s v="35160"/>
    <s v="Ille-et-Vilaine"/>
    <s v="Bretagne"/>
    <x v="0"/>
    <s v="LINKY"/>
    <n v="2"/>
    <b v="1"/>
    <b v="1"/>
    <b v="0"/>
    <b v="1"/>
    <b v="0"/>
    <b v="0"/>
    <x v="0"/>
    <x v="0"/>
    <n v="0.01"/>
    <n v="0.01"/>
    <m/>
    <m/>
  </r>
  <r>
    <s v="14485672926030"/>
    <s v="2"/>
    <s v="MU"/>
    <s v=""/>
    <n v="6"/>
    <s v="SERVC"/>
    <s v="PROTOC-501"/>
    <m/>
    <m/>
    <m/>
    <m/>
    <s v="FC000032"/>
    <s v="2"/>
    <s v="MU"/>
    <m/>
    <n v="6"/>
    <s v=""/>
    <s v="35720"/>
    <s v="Ille-et-Vilaine"/>
    <s v="Bretagne"/>
    <x v="0"/>
    <s v="LINKY"/>
    <n v="2"/>
    <b v="1"/>
    <b v="1"/>
    <b v="0"/>
    <b v="0"/>
    <b v="0"/>
    <b v="0"/>
    <x v="0"/>
    <x v="0"/>
    <n v="0.01"/>
    <n v="0.01"/>
    <m/>
    <m/>
  </r>
  <r>
    <s v="15431259006722"/>
    <s v="2"/>
    <s v="MU"/>
    <s v=""/>
    <n v="9"/>
    <s v="SERVC"/>
    <s v="GRD-F051"/>
    <m/>
    <m/>
    <m/>
    <m/>
    <s v="FC000142"/>
    <s v="2"/>
    <s v="MU"/>
    <m/>
    <n v="9"/>
    <s v=""/>
    <s v="79000"/>
    <s v="Deux-Sèvres"/>
    <s v="Poitou-Charent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6128798659892"/>
    <s v="2"/>
    <s v="CU"/>
    <s v=""/>
    <n v="9"/>
    <s v="SERVC"/>
    <s v="GRD-F052"/>
    <m/>
    <m/>
    <m/>
    <m/>
    <s v="FC000145"/>
    <s v="2"/>
    <s v="CU"/>
    <m/>
    <n v="9"/>
    <s v=""/>
    <s v="33450"/>
    <s v="Gironde"/>
    <s v="Aquitaine"/>
    <x v="0"/>
    <s v="LINKY"/>
    <n v="2"/>
    <b v="1"/>
    <b v="1"/>
    <b v="0"/>
    <b v="0"/>
    <b v="0"/>
    <b v="0"/>
    <x v="0"/>
    <x v="0"/>
    <n v="0.01"/>
    <n v="0.01"/>
    <m/>
    <m/>
  </r>
  <r>
    <s v="17145151895189"/>
    <s v="1"/>
    <s v="CU"/>
    <s v=""/>
    <n v="6"/>
    <s v="SERVC"/>
    <s v="GRD-F001"/>
    <m/>
    <m/>
    <m/>
    <m/>
    <s v="FC000063"/>
    <s v="1"/>
    <s v="CU"/>
    <m/>
    <n v="6"/>
    <s v=""/>
    <s v="63670"/>
    <s v="Puy-de-Dôme"/>
    <s v="Auvergne"/>
    <x v="0"/>
    <s v="LINKY"/>
    <n v="2"/>
    <b v="1"/>
    <b v="1"/>
    <b v="0"/>
    <b v="0"/>
    <b v="0"/>
    <b v="0"/>
    <x v="0"/>
    <x v="0"/>
    <n v="0.01"/>
    <n v="0.01"/>
    <m/>
    <m/>
  </r>
  <r>
    <s v="17394355985724"/>
    <s v="1"/>
    <s v="CU"/>
    <s v=""/>
    <n v="6"/>
    <s v="SERVC"/>
    <s v="GRD-F051"/>
    <m/>
    <m/>
    <m/>
    <m/>
    <s v="FC000147"/>
    <s v="1"/>
    <s v="CU"/>
    <m/>
    <n v="6"/>
    <s v=""/>
    <s v="03200"/>
    <s v="Allier"/>
    <s v="Auver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2141533935685"/>
    <s v="1"/>
    <s v="CU"/>
    <s v=""/>
    <n v="6"/>
    <s v="SERVC"/>
    <s v="PROTOC-501"/>
    <m/>
    <m/>
    <m/>
    <m/>
    <s v="FC000010"/>
    <s v="1"/>
    <s v="CU"/>
    <m/>
    <n v="6"/>
    <s v=""/>
    <s v="76650"/>
    <s v="Seine-Maritime"/>
    <s v="Haute-Normandie"/>
    <x v="0"/>
    <s v="LINKY"/>
    <n v="2"/>
    <b v="1"/>
    <b v="1"/>
    <b v="0"/>
    <b v="0"/>
    <b v="0"/>
    <b v="0"/>
    <x v="0"/>
    <x v="0"/>
    <n v="0.01"/>
    <n v="0.01"/>
    <m/>
    <m/>
  </r>
  <r>
    <s v="19835745252240"/>
    <s v="1"/>
    <s v="CU"/>
    <s v=""/>
    <n v="9"/>
    <s v="SERVC"/>
    <s v="GRD-F051"/>
    <m/>
    <m/>
    <m/>
    <m/>
    <s v="FC000147"/>
    <s v="1"/>
    <s v="MU4"/>
    <m/>
    <n v="9"/>
    <s v=""/>
    <s v="42300"/>
    <s v="Loire"/>
    <s v="Rhône-Alpes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21146599040177"/>
    <s v="1"/>
    <s v="CU"/>
    <s v=""/>
    <n v="6"/>
    <s v="SERVC"/>
    <s v="PROTOC-501"/>
    <m/>
    <m/>
    <m/>
    <m/>
    <s v="FC000010"/>
    <s v="1"/>
    <s v="CU"/>
    <m/>
    <n v="6"/>
    <s v=""/>
    <s v="78610"/>
    <s v="Yvelines"/>
    <s v="Ile-de-France"/>
    <x v="0"/>
    <s v="LINKY"/>
    <n v="2"/>
    <b v="1"/>
    <b v="1"/>
    <b v="0"/>
    <b v="0"/>
    <b v="0"/>
    <b v="0"/>
    <x v="0"/>
    <x v="0"/>
    <n v="0.01"/>
    <n v="0.01"/>
    <m/>
    <m/>
  </r>
  <r>
    <s v="02156005767382"/>
    <s v="1"/>
    <s v="CU"/>
    <s v=""/>
    <n v="6"/>
    <s v="SERVC"/>
    <s v="GRD-F051"/>
    <m/>
    <m/>
    <m/>
    <m/>
    <s v="FC000147"/>
    <s v="1"/>
    <s v="CU"/>
    <m/>
    <n v="6"/>
    <s v=""/>
    <s v="76520"/>
    <s v="Seine-Maritime"/>
    <s v="Haute-Norman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787409527772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s v="Cent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890882723968"/>
    <s v="2"/>
    <s v="MU"/>
    <s v=""/>
    <n v="6"/>
    <s v="SERVC"/>
    <s v="PROTOC-501"/>
    <m/>
    <m/>
    <m/>
    <m/>
    <s v="FC000032"/>
    <s v="2"/>
    <s v="MU"/>
    <m/>
    <n v="6"/>
    <s v=""/>
    <s v="56100"/>
    <s v="Morbihan"/>
    <s v="Bretagne"/>
    <x v="0"/>
    <s v="LINKY"/>
    <n v="2"/>
    <b v="1"/>
    <b v="1"/>
    <b v="0"/>
    <b v="0"/>
    <b v="0"/>
    <b v="0"/>
    <x v="0"/>
    <x v="0"/>
    <n v="0.01"/>
    <n v="0.01"/>
    <m/>
    <m/>
  </r>
  <r>
    <s v="07347901534794"/>
    <s v="1"/>
    <s v="CU"/>
    <s v=""/>
    <n v="6"/>
    <s v="SERVC"/>
    <s v="GRD-F051"/>
    <m/>
    <m/>
    <m/>
    <m/>
    <s v="FC000147"/>
    <s v="1"/>
    <s v="CU"/>
    <m/>
    <n v="6"/>
    <s v=""/>
    <s v="75013"/>
    <s v="Par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108827769167"/>
    <s v="2"/>
    <s v="CU"/>
    <s v=""/>
    <n v="9"/>
    <s v="SERVC"/>
    <s v="PROTOC-501"/>
    <m/>
    <m/>
    <m/>
    <m/>
    <s v="FC000032"/>
    <s v="2"/>
    <s v="MU"/>
    <m/>
    <n v="9"/>
    <s v=""/>
    <s v="72200"/>
    <s v="Sarthe"/>
    <s v="Pays-de-la-Loire"/>
    <x v="0"/>
    <s v="LINKY"/>
    <n v="2"/>
    <b v="1"/>
    <b v="1"/>
    <b v="0"/>
    <b v="1"/>
    <b v="0"/>
    <b v="0"/>
    <x v="0"/>
    <x v="0"/>
    <n v="0.01"/>
    <n v="0.01"/>
    <m/>
    <m/>
  </r>
  <r>
    <s v="09315918941515"/>
    <s v="1"/>
    <s v="CU"/>
    <s v=""/>
    <n v="6"/>
    <s v="SERVC"/>
    <s v="GRD-F051"/>
    <m/>
    <m/>
    <m/>
    <m/>
    <s v="FC000147"/>
    <s v="1"/>
    <s v="CU"/>
    <m/>
    <n v="6"/>
    <s v=""/>
    <s v="49300"/>
    <s v="Maine-et-Loir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717944991689"/>
    <s v="1"/>
    <s v="CU"/>
    <s v=""/>
    <n v="6"/>
    <s v="SERVC"/>
    <s v="GRD-F001"/>
    <m/>
    <m/>
    <m/>
    <m/>
    <s v="FC000063"/>
    <s v="1"/>
    <s v="MU"/>
    <m/>
    <n v="6"/>
    <s v=""/>
    <s v="37000"/>
    <s v="Indre-et-Loire"/>
    <s v="Centre"/>
    <x v="0"/>
    <s v="LINKY"/>
    <n v="2"/>
    <b v="1"/>
    <b v="1"/>
    <b v="0"/>
    <b v="1"/>
    <b v="0"/>
    <b v="0"/>
    <x v="0"/>
    <x v="0"/>
    <n v="0.01"/>
    <n v="0.01"/>
    <m/>
    <m/>
  </r>
  <r>
    <s v="14269753962495"/>
    <s v="1"/>
    <s v="CU"/>
    <s v=""/>
    <n v="6"/>
    <s v="SERVC"/>
    <s v="PROTOC-501"/>
    <m/>
    <m/>
    <m/>
    <m/>
    <s v="FC000010"/>
    <s v="1"/>
    <s v="CU"/>
    <m/>
    <n v="6"/>
    <s v=""/>
    <s v="44600"/>
    <s v="Loire-Atlantiqu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14296671365453"/>
    <s v="1"/>
    <s v="CU"/>
    <s v=""/>
    <n v="6"/>
    <s v="SERVC"/>
    <s v="PROTOC-501"/>
    <m/>
    <m/>
    <m/>
    <m/>
    <s v="FC000010"/>
    <s v="1"/>
    <s v="MU4"/>
    <m/>
    <n v="6"/>
    <s v=""/>
    <s v="44230"/>
    <s v="Loire-Atlantique"/>
    <s v="Pays-de-la-Loire"/>
    <x v="0"/>
    <s v="LINKY"/>
    <n v="2"/>
    <b v="1"/>
    <b v="1"/>
    <b v="0"/>
    <b v="1"/>
    <b v="0"/>
    <b v="0"/>
    <x v="0"/>
    <x v="0"/>
    <n v="0.01"/>
    <n v="0.01"/>
    <m/>
    <m/>
  </r>
  <r>
    <s v="14500868247269"/>
    <s v="2"/>
    <s v="MU"/>
    <s v=""/>
    <n v="9"/>
    <s v="SERVC"/>
    <s v="GRD-F027"/>
    <m/>
    <m/>
    <m/>
    <m/>
    <s v="FC000044"/>
    <s v="2"/>
    <s v="MU"/>
    <m/>
    <n v="9"/>
    <s v=""/>
    <s v="22440"/>
    <s v="Côtes d'Armor"/>
    <s v="Bretagne"/>
    <x v="0"/>
    <s v="LINKY"/>
    <n v="2"/>
    <b v="1"/>
    <b v="1"/>
    <b v="0"/>
    <b v="0"/>
    <b v="0"/>
    <b v="0"/>
    <x v="0"/>
    <x v="0"/>
    <n v="0.01"/>
    <n v="0.01"/>
    <m/>
    <m/>
  </r>
  <r>
    <s v="14544138852489"/>
    <s v="2"/>
    <s v="CU"/>
    <s v=""/>
    <n v="12"/>
    <s v="SERVC"/>
    <s v="GRD-F051"/>
    <m/>
    <m/>
    <m/>
    <m/>
    <s v="FC000142"/>
    <s v="2"/>
    <s v="MU"/>
    <m/>
    <n v="12"/>
    <s v=""/>
    <s v="22130"/>
    <s v="Côtes d'Armor"/>
    <s v="Bretagne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14706656969382"/>
    <s v="2"/>
    <s v="CU"/>
    <s v=""/>
    <n v="12"/>
    <s v="SERVC"/>
    <s v="PROTOC-501"/>
    <m/>
    <m/>
    <m/>
    <m/>
    <s v="FC000032"/>
    <s v="2"/>
    <s v="MU"/>
    <m/>
    <n v="12"/>
    <s v=""/>
    <s v="29910"/>
    <s v="Finistère"/>
    <s v="Bretagne"/>
    <x v="0"/>
    <s v="LINKY"/>
    <n v="2"/>
    <b v="1"/>
    <b v="1"/>
    <b v="0"/>
    <b v="1"/>
    <b v="0"/>
    <b v="0"/>
    <x v="0"/>
    <x v="0"/>
    <n v="0.01"/>
    <n v="0.01"/>
    <m/>
    <m/>
  </r>
  <r>
    <s v="15591751061656"/>
    <s v="1"/>
    <s v="CU"/>
    <s v=""/>
    <n v="9"/>
    <s v="SERVC"/>
    <s v="GRD-F027"/>
    <m/>
    <m/>
    <m/>
    <m/>
    <s v="FC000044"/>
    <s v="2"/>
    <s v="CU"/>
    <m/>
    <n v="9"/>
    <s v=""/>
    <s v="87280"/>
    <s v="Haute-Vienne"/>
    <s v="Limousin"/>
    <x v="0"/>
    <s v="CBE"/>
    <n v="0"/>
    <b v="0"/>
    <b v="1"/>
    <b v="1"/>
    <b v="0"/>
    <b v="0"/>
    <b v="0"/>
    <x v="0"/>
    <x v="2"/>
    <n v="0.01"/>
    <n v="1"/>
    <m/>
    <s v="Changement de structure tarifaire sur compteur CBE"/>
  </r>
  <r>
    <s v="16165846545015"/>
    <s v="2"/>
    <s v="MU"/>
    <s v=""/>
    <n v="6"/>
    <s v="SERVC"/>
    <s v="GRD-F051"/>
    <m/>
    <m/>
    <m/>
    <m/>
    <s v="FC000142"/>
    <s v="2"/>
    <s v="MU"/>
    <m/>
    <n v="6"/>
    <s v=""/>
    <s v="33800"/>
    <s v="Gironde"/>
    <s v="Aquitai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6478147570520"/>
    <s v="1"/>
    <s v="CU"/>
    <s v=""/>
    <n v="6"/>
    <s v="SERVC"/>
    <s v="GRD-F006"/>
    <m/>
    <m/>
    <m/>
    <m/>
    <s v="FC000018"/>
    <s v="1"/>
    <s v="CU"/>
    <m/>
    <n v="6"/>
    <s v=""/>
    <s v="40465"/>
    <s v="Landes"/>
    <s v="Aquitaine"/>
    <x v="0"/>
    <s v="LINKY"/>
    <n v="2"/>
    <b v="1"/>
    <b v="1"/>
    <b v="0"/>
    <b v="0"/>
    <b v="0"/>
    <b v="0"/>
    <x v="0"/>
    <x v="0"/>
    <n v="0.01"/>
    <n v="0.01"/>
    <m/>
    <m/>
  </r>
  <r>
    <s v="17183646787958"/>
    <s v="2"/>
    <s v="MU"/>
    <s v=""/>
    <n v="9"/>
    <s v="SERVC"/>
    <s v="GRD-F051"/>
    <m/>
    <m/>
    <m/>
    <m/>
    <s v="FC000142"/>
    <s v="2"/>
    <s v="MU"/>
    <m/>
    <n v="9"/>
    <s v=""/>
    <s v="63000"/>
    <s v="Puy-de-Dôme"/>
    <s v="Auver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9117221256728"/>
    <s v="2"/>
    <s v="MU"/>
    <s v=""/>
    <n v="6"/>
    <s v="SERVC"/>
    <s v="GRD-F051"/>
    <m/>
    <m/>
    <m/>
    <m/>
    <s v="FC000142"/>
    <s v="2"/>
    <s v="MU"/>
    <m/>
    <n v="6"/>
    <s v=""/>
    <s v="69006"/>
    <s v="Rhône"/>
    <s v="Rhône-Alp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9140376265022"/>
    <s v="1"/>
    <s v="CU"/>
    <s v=""/>
    <n v="6"/>
    <s v="SERVC"/>
    <s v="PROTOC-501"/>
    <m/>
    <m/>
    <m/>
    <m/>
    <s v="FC000010"/>
    <s v="1"/>
    <s v="CU"/>
    <m/>
    <n v="6"/>
    <s v=""/>
    <s v="69006"/>
    <s v="Rhône"/>
    <s v="Rhône-Alpes"/>
    <x v="0"/>
    <s v="LINKY"/>
    <n v="2"/>
    <b v="1"/>
    <b v="1"/>
    <b v="0"/>
    <b v="0"/>
    <b v="0"/>
    <b v="0"/>
    <x v="0"/>
    <x v="0"/>
    <n v="0.01"/>
    <n v="0.01"/>
    <m/>
    <m/>
  </r>
  <r>
    <s v="19569609169156"/>
    <s v="2"/>
    <s v="MU"/>
    <s v=""/>
    <n v="9"/>
    <s v="SERVC"/>
    <s v="GRD-F051"/>
    <m/>
    <m/>
    <m/>
    <m/>
    <s v="FC000142"/>
    <s v="2"/>
    <s v="MU"/>
    <m/>
    <n v="9"/>
    <s v=""/>
    <s v="74100"/>
    <s v="Haute-Savoie"/>
    <s v="Rhône-Alp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9986975337177"/>
    <s v="1"/>
    <s v="CU"/>
    <s v=""/>
    <n v="6"/>
    <s v="SERVC"/>
    <s v="GRD-F006"/>
    <m/>
    <m/>
    <m/>
    <m/>
    <s v="FC000018"/>
    <s v="1"/>
    <s v="CU"/>
    <m/>
    <n v="6"/>
    <s v=""/>
    <s v="01000"/>
    <s v="Ain"/>
    <s v="Rhône-Alpes"/>
    <x v="0"/>
    <s v="LINKY"/>
    <n v="1"/>
    <b v="1"/>
    <b v="1"/>
    <b v="0"/>
    <b v="0"/>
    <b v="0"/>
    <b v="0"/>
    <x v="0"/>
    <x v="0"/>
    <n v="0.01"/>
    <n v="0.01"/>
    <m/>
    <m/>
  </r>
  <r>
    <s v="07321852338565"/>
    <s v="2"/>
    <s v="MU"/>
    <s v=""/>
    <n v="6"/>
    <s v="SERVC"/>
    <s v="GRD-F051"/>
    <m/>
    <m/>
    <m/>
    <m/>
    <s v="FC000142"/>
    <s v="2"/>
    <s v="MU"/>
    <m/>
    <n v="6"/>
    <s v=""/>
    <s v="75013"/>
    <s v="Par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53256065017"/>
    <s v="1"/>
    <s v="CU"/>
    <s v=""/>
    <n v="6"/>
    <s v="SERVC"/>
    <s v="GRD-F051"/>
    <m/>
    <m/>
    <m/>
    <m/>
    <s v="FC000147"/>
    <s v="1"/>
    <s v="CU"/>
    <m/>
    <n v="6"/>
    <s v=""/>
    <s v="4430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910564392213"/>
    <s v="2"/>
    <s v="MU"/>
    <s v=""/>
    <n v="12"/>
    <s v="SERVC"/>
    <s v="GRD-F051"/>
    <m/>
    <m/>
    <m/>
    <m/>
    <s v="FC000142"/>
    <s v="2"/>
    <s v="MU"/>
    <m/>
    <n v="12"/>
    <s v=""/>
    <s v="06410"/>
    <s v="Alpes-Maritimes"/>
    <s v="Provence-Alpes-Côte d'Azur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610853828480"/>
    <s v="2"/>
    <s v="MU"/>
    <s v=""/>
    <n v="12"/>
    <s v="SERVC"/>
    <s v="GRD-F051"/>
    <m/>
    <m/>
    <m/>
    <m/>
    <s v="FC000142"/>
    <s v="2"/>
    <s v="MU"/>
    <m/>
    <n v="12"/>
    <s v=""/>
    <s v="80540"/>
    <s v="Somme"/>
    <s v="Picar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58610519920"/>
    <s v="2"/>
    <s v="CU"/>
    <s v=""/>
    <n v="9"/>
    <s v="SERVC"/>
    <s v="GRD-F058"/>
    <m/>
    <m/>
    <m/>
    <m/>
    <s v="FC000166"/>
    <s v="2"/>
    <s v="MU"/>
    <m/>
    <n v="9"/>
    <s v=""/>
    <s v="44470"/>
    <s v="Loire-Atlantique"/>
    <s v="Pays-de-la-Loire"/>
    <x v="0"/>
    <s v="LINKY"/>
    <n v="2"/>
    <b v="1"/>
    <b v="1"/>
    <b v="0"/>
    <b v="1"/>
    <b v="0"/>
    <b v="0"/>
    <x v="0"/>
    <x v="0"/>
    <n v="0.01"/>
    <n v="0.01"/>
    <m/>
    <m/>
  </r>
  <r>
    <s v="21419970950094"/>
    <s v="1"/>
    <s v="CU"/>
    <s v=""/>
    <n v="6"/>
    <s v="SERVC"/>
    <s v="GRD-F051"/>
    <m/>
    <m/>
    <m/>
    <m/>
    <s v="FC000147"/>
    <s v="1"/>
    <s v="CU"/>
    <m/>
    <n v="6"/>
    <s v=""/>
    <s v="95240"/>
    <s v="Val-d'Ois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6">
  <r>
    <s v="09164544121954"/>
    <s v="1"/>
    <s v="CU"/>
    <s v=""/>
    <n v="12"/>
    <s v="SERVC"/>
    <s v="GRD-F006"/>
    <m/>
    <m/>
    <m/>
    <m/>
    <s v="FC000018"/>
    <s v="1"/>
    <s v="CU"/>
    <m/>
    <n v="12"/>
    <s v=""/>
    <s v="72160"/>
    <s v="Sarth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9780028911863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x v="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797539789041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x v="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388422484103"/>
    <s v="1"/>
    <s v="CU"/>
    <s v=""/>
    <n v="6"/>
    <s v="SERVC"/>
    <s v="GRD-F051"/>
    <m/>
    <m/>
    <m/>
    <m/>
    <s v="FC000147"/>
    <s v="1"/>
    <s v="CU"/>
    <m/>
    <n v="6"/>
    <s v=""/>
    <s v="59165"/>
    <s v="Nord"/>
    <x v="2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521418216821"/>
    <s v="2"/>
    <s v="CU"/>
    <s v=""/>
    <n v="12"/>
    <s v="SERVC"/>
    <s v="GRD-F051"/>
    <m/>
    <m/>
    <m/>
    <m/>
    <s v="FC000142"/>
    <s v="2"/>
    <s v="CU"/>
    <m/>
    <n v="12"/>
    <s v=""/>
    <s v="22190"/>
    <s v="Côtes d'Armor"/>
    <x v="3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635600576120"/>
    <s v="1"/>
    <s v="CU"/>
    <s v=""/>
    <n v="6"/>
    <s v="SERVC"/>
    <s v="PROTOC-501"/>
    <m/>
    <m/>
    <m/>
    <m/>
    <s v="FC000010"/>
    <s v="1"/>
    <s v="CU"/>
    <m/>
    <n v="6"/>
    <s v=""/>
    <s v="29200"/>
    <s v="Finistèr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21327062106150"/>
    <s v="2"/>
    <s v="MU"/>
    <s v=""/>
    <n v="9"/>
    <s v="SERVC"/>
    <s v="GRD-F051"/>
    <m/>
    <m/>
    <m/>
    <m/>
    <s v="FC000142"/>
    <s v="2"/>
    <s v="MU"/>
    <m/>
    <n v="9"/>
    <s v=""/>
    <s v="92130"/>
    <s v="Hauts-de-Sei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x v="5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22160202552029"/>
    <s v="2"/>
    <s v="MU"/>
    <s v=""/>
    <n v="18"/>
    <s v="SERVC"/>
    <s v="GRD-F027"/>
    <m/>
    <m/>
    <m/>
    <m/>
    <s v="FC000044"/>
    <s v="2"/>
    <s v="CU"/>
    <m/>
    <n v="18"/>
    <s v=""/>
    <s v="77510"/>
    <s v="Seine-et-Marne"/>
    <x v="4"/>
    <s v="GINKO"/>
    <s v="LINKY"/>
    <n v="2"/>
    <b v="1"/>
    <b v="1"/>
    <b v="0"/>
    <b v="1"/>
    <b v="0"/>
    <b v="0"/>
    <s v="F130B"/>
    <s v="Téléopération"/>
    <n v="0.01"/>
    <n v="0.01"/>
    <m/>
    <m/>
  </r>
  <r>
    <s v="22290159137484"/>
    <s v="1"/>
    <s v="CU"/>
    <s v=""/>
    <n v="9"/>
    <s v="SERVC"/>
    <s v="GRD-F006"/>
    <m/>
    <m/>
    <m/>
    <m/>
    <s v="FC000018"/>
    <s v="1"/>
    <s v="CU"/>
    <m/>
    <n v="9"/>
    <s v=""/>
    <s v="91120"/>
    <s v="Essonne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2575976781746"/>
    <s v="2"/>
    <s v="MU"/>
    <s v=""/>
    <n v="6"/>
    <s v="SERVC"/>
    <s v="GRD-F051"/>
    <m/>
    <m/>
    <m/>
    <m/>
    <s v="FC000142"/>
    <s v="2"/>
    <s v="MU"/>
    <m/>
    <n v="6"/>
    <s v=""/>
    <s v="93600"/>
    <s v="Seine-St-Den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3538060764251"/>
    <s v="1"/>
    <s v="CU"/>
    <s v=""/>
    <n v="6"/>
    <s v="SERVC"/>
    <s v="PROTOC-501"/>
    <m/>
    <m/>
    <m/>
    <m/>
    <s v="FC000010"/>
    <s v="1"/>
    <s v="CU"/>
    <m/>
    <n v="6"/>
    <s v=""/>
    <s v="12000"/>
    <s v="Aveyron"/>
    <x v="6"/>
    <s v="GINKO"/>
    <s v="LINKY"/>
    <n v="2"/>
    <b v="1"/>
    <b v="1"/>
    <b v="0"/>
    <b v="0"/>
    <b v="0"/>
    <b v="0"/>
    <s v="F130B"/>
    <s v="Téléopération"/>
    <n v="0.01"/>
    <n v="0.01"/>
    <m/>
    <m/>
  </r>
  <r>
    <s v="24341099817969"/>
    <s v="1"/>
    <s v="CU"/>
    <s v=""/>
    <n v="6"/>
    <s v="SERVC"/>
    <s v="GRD-F051"/>
    <m/>
    <m/>
    <m/>
    <m/>
    <s v="FC000147"/>
    <s v="1"/>
    <s v="CU"/>
    <m/>
    <n v="6"/>
    <s v=""/>
    <s v="34430"/>
    <s v="Hérault"/>
    <x v="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570188123872"/>
    <s v="1"/>
    <s v="CU"/>
    <s v=""/>
    <n v="6"/>
    <s v="SERVC"/>
    <s v="GRD-F001"/>
    <m/>
    <m/>
    <m/>
    <m/>
    <s v="FC000063"/>
    <s v="1"/>
    <s v="CU"/>
    <m/>
    <n v="6"/>
    <s v=""/>
    <s v="30000"/>
    <s v="Gard"/>
    <x v="7"/>
    <s v="GINKO"/>
    <s v="LINKY"/>
    <n v="2"/>
    <b v="1"/>
    <b v="1"/>
    <b v="0"/>
    <b v="0"/>
    <b v="0"/>
    <b v="0"/>
    <s v="F130B"/>
    <s v="Téléopération"/>
    <n v="0.01"/>
    <n v="0.01"/>
    <m/>
    <m/>
  </r>
  <r>
    <s v="01328943557999"/>
    <s v="1"/>
    <s v="CU"/>
    <s v=""/>
    <n v="6"/>
    <s v="SERVC"/>
    <s v="GRD-F044"/>
    <m/>
    <m/>
    <m/>
    <m/>
    <s v="FC000123"/>
    <s v="1"/>
    <s v="CU"/>
    <m/>
    <n v="6"/>
    <s v=""/>
    <s v="62210"/>
    <s v="Pas-de-Calais"/>
    <x v="2"/>
    <s v="GINKO"/>
    <s v="LINKY"/>
    <n v="2"/>
    <b v="1"/>
    <b v="1"/>
    <b v="0"/>
    <b v="0"/>
    <b v="0"/>
    <b v="0"/>
    <s v="F130B"/>
    <s v="Téléopération"/>
    <n v="0.01"/>
    <n v="0.01"/>
    <m/>
    <m/>
  </r>
  <r>
    <s v="14229377680778"/>
    <s v="1"/>
    <s v="CU"/>
    <s v=""/>
    <n v="9"/>
    <s v="SERVC"/>
    <s v="GRD-F051"/>
    <m/>
    <m/>
    <m/>
    <m/>
    <s v="FC000147"/>
    <s v="1"/>
    <s v="CU"/>
    <m/>
    <n v="9"/>
    <s v=""/>
    <s v="4480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54703220809"/>
    <s v="1"/>
    <s v="CU"/>
    <s v=""/>
    <n v="6"/>
    <s v="SERVC"/>
    <s v="GRD-F051"/>
    <m/>
    <m/>
    <m/>
    <m/>
    <s v="FC000147"/>
    <s v="1"/>
    <s v="CU"/>
    <m/>
    <n v="6"/>
    <s v=""/>
    <s v="4470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82199669190"/>
    <s v="2"/>
    <s v="MU"/>
    <s v=""/>
    <n v="12"/>
    <s v="SERVC"/>
    <s v="GRD-F051"/>
    <m/>
    <m/>
    <m/>
    <m/>
    <s v="FC000142"/>
    <s v="2"/>
    <s v="MU"/>
    <m/>
    <n v="12"/>
    <s v=""/>
    <s v="4462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1241099744510"/>
    <s v="1"/>
    <s v="CU"/>
    <s v=""/>
    <n v="6"/>
    <s v="SERVC"/>
    <s v="GRD-F006"/>
    <m/>
    <m/>
    <m/>
    <m/>
    <s v="FC000018"/>
    <s v="1"/>
    <s v="CU"/>
    <m/>
    <n v="6"/>
    <s v=""/>
    <s v="78710"/>
    <s v="Yvelines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1357742276207"/>
    <s v="1"/>
    <s v="CU"/>
    <s v=""/>
    <n v="9"/>
    <s v="SERVC"/>
    <s v="GRD-F006"/>
    <m/>
    <m/>
    <m/>
    <m/>
    <s v="FC000018"/>
    <s v="1"/>
    <s v="CU"/>
    <m/>
    <n v="9"/>
    <s v=""/>
    <s v="92370"/>
    <s v="Hauts-de-Seine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x v="5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22141244538777"/>
    <s v="2"/>
    <s v="MU"/>
    <s v=""/>
    <n v="12"/>
    <s v="SERVC"/>
    <s v="GRD-F051"/>
    <m/>
    <m/>
    <m/>
    <m/>
    <s v="FC000142"/>
    <s v="2"/>
    <s v="MU"/>
    <m/>
    <n v="12"/>
    <s v=""/>
    <s v="77170"/>
    <s v="Seine-et-Mar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2272503584475"/>
    <s v="1"/>
    <s v="CU"/>
    <s v=""/>
    <n v="6"/>
    <s v="SERVC"/>
    <s v="GRD-F006"/>
    <m/>
    <m/>
    <m/>
    <m/>
    <s v="FC000018"/>
    <s v="1"/>
    <s v="CU"/>
    <m/>
    <n v="6"/>
    <s v=""/>
    <s v="91280"/>
    <s v="Essonne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2296526753898"/>
    <s v="2"/>
    <s v="CU"/>
    <s v=""/>
    <n v="9"/>
    <s v="SERVC"/>
    <s v="GRD-F051"/>
    <m/>
    <m/>
    <m/>
    <m/>
    <s v="FC000142"/>
    <s v="2"/>
    <s v="CU"/>
    <m/>
    <n v="9"/>
    <s v=""/>
    <s v="91140"/>
    <s v="Esson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2297105602548"/>
    <s v="2"/>
    <s v="MU"/>
    <s v=""/>
    <n v="15"/>
    <s v="SERVC"/>
    <s v="GRD-F051"/>
    <m/>
    <m/>
    <m/>
    <m/>
    <s v="FC000142"/>
    <s v="2"/>
    <s v="MU"/>
    <m/>
    <n v="15"/>
    <s v=""/>
    <s v="91450"/>
    <s v="Esson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4115629490508"/>
    <s v="1"/>
    <s v="CU"/>
    <s v=""/>
    <n v="6"/>
    <s v="SERVC"/>
    <s v="GRD-F051"/>
    <m/>
    <m/>
    <m/>
    <m/>
    <s v="FC000147"/>
    <s v="1"/>
    <s v="CU"/>
    <m/>
    <n v="6"/>
    <s v=""/>
    <s v="02200"/>
    <s v="Aisne"/>
    <x v="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367438429128"/>
    <s v="2"/>
    <s v="MU"/>
    <s v=""/>
    <n v="6"/>
    <s v="SERVC"/>
    <s v="GRD-F051"/>
    <m/>
    <m/>
    <m/>
    <m/>
    <s v="FC000142"/>
    <s v="2"/>
    <s v="MU"/>
    <m/>
    <n v="6"/>
    <s v=""/>
    <s v="34000"/>
    <s v="Hérault"/>
    <x v="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111432587884"/>
    <s v="1"/>
    <s v="CU"/>
    <s v=""/>
    <n v="6"/>
    <s v="SERVC"/>
    <s v="GRD-F051"/>
    <m/>
    <m/>
    <m/>
    <m/>
    <s v="FC000147"/>
    <s v="1"/>
    <s v="CU"/>
    <m/>
    <n v="6"/>
    <s v=""/>
    <s v="13009"/>
    <s v="Bouches du Rhône"/>
    <x v="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283791528239"/>
    <s v="2"/>
    <s v="CU"/>
    <s v=""/>
    <n v="9"/>
    <s v="SERVC"/>
    <s v="PROTOC-501"/>
    <m/>
    <m/>
    <m/>
    <m/>
    <s v="FC000032"/>
    <s v="2"/>
    <s v="MU"/>
    <m/>
    <n v="9"/>
    <s v=""/>
    <s v="13090"/>
    <s v="Bouches du Rhône"/>
    <x v="8"/>
    <s v="GINKO"/>
    <s v="LINKY"/>
    <n v="2"/>
    <b v="1"/>
    <b v="1"/>
    <b v="0"/>
    <b v="1"/>
    <b v="0"/>
    <b v="0"/>
    <s v="F130B"/>
    <s v="Téléopération"/>
    <n v="0.01"/>
    <n v="0.01"/>
    <m/>
    <m/>
  </r>
  <r>
    <s v="04302315456404"/>
    <s v="1"/>
    <s v="CU"/>
    <s v=""/>
    <n v="6"/>
    <s v="SERVC"/>
    <s v="GRD-F051"/>
    <m/>
    <m/>
    <m/>
    <m/>
    <s v="FC000147"/>
    <s v="1"/>
    <s v="CU"/>
    <m/>
    <n v="6"/>
    <s v=""/>
    <s v="51100"/>
    <s v="Marne"/>
    <x v="9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5130969555220"/>
    <s v="2"/>
    <s v="MU"/>
    <s v=""/>
    <n v="6"/>
    <s v="SERVC"/>
    <s v="GRD-F051"/>
    <m/>
    <m/>
    <m/>
    <m/>
    <s v="FC000142"/>
    <s v="2"/>
    <s v="MU"/>
    <m/>
    <n v="6"/>
    <s v=""/>
    <s v="54500"/>
    <s v="Meurthe-et-Moselle"/>
    <x v="1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5186975397891"/>
    <s v="1"/>
    <s v="CU"/>
    <s v=""/>
    <n v="9"/>
    <s v="SERVC"/>
    <s v="GRD-F051"/>
    <m/>
    <m/>
    <m/>
    <m/>
    <s v="FC000142"/>
    <s v="2"/>
    <s v="MU4"/>
    <m/>
    <n v="6"/>
    <s v=""/>
    <s v="54110"/>
    <s v="Meurthe-et-Moselle"/>
    <x v="10"/>
    <s v="GINKO"/>
    <s v="LINKY"/>
    <n v="2"/>
    <b v="1"/>
    <b v="0"/>
    <b v="1"/>
    <b v="1"/>
    <b v="0"/>
    <b v="1"/>
    <s v="Non recevable"/>
    <s v="NA"/>
    <n v="0"/>
    <n v="0"/>
    <s v="Le contrat cible et le contrat source sont identiques"/>
    <m/>
  </r>
  <r>
    <s v="05410998508420"/>
    <s v="1"/>
    <s v="CU"/>
    <s v=""/>
    <n v="6"/>
    <s v="SERVC"/>
    <s v="GRD-F006"/>
    <m/>
    <m/>
    <m/>
    <m/>
    <s v="FC000018"/>
    <s v="1"/>
    <s v="CU"/>
    <m/>
    <n v="6"/>
    <s v=""/>
    <s v="88100"/>
    <s v="Vosges"/>
    <x v="10"/>
    <s v="GINKO"/>
    <s v="LINKY"/>
    <n v="2"/>
    <b v="1"/>
    <b v="1"/>
    <b v="0"/>
    <b v="0"/>
    <b v="0"/>
    <b v="0"/>
    <s v="F130B"/>
    <s v="Téléopération"/>
    <n v="0.01"/>
    <n v="0.01"/>
    <m/>
    <m/>
  </r>
  <r>
    <s v="06305354513287"/>
    <s v="1"/>
    <s v="CU"/>
    <s v=""/>
    <n v="6"/>
    <s v="SERVC"/>
    <s v="GRD-F051"/>
    <m/>
    <m/>
    <m/>
    <m/>
    <s v="FC000147"/>
    <s v="1"/>
    <s v="CU"/>
    <m/>
    <n v="6"/>
    <s v=""/>
    <s v="68260"/>
    <s v="Haut-Rhin"/>
    <x v="1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6537047747086"/>
    <s v="2"/>
    <s v="CU"/>
    <s v=""/>
    <n v="6"/>
    <s v="SERVC"/>
    <s v="GRD-F062"/>
    <m/>
    <m/>
    <m/>
    <m/>
    <s v="FC000178"/>
    <s v="2"/>
    <s v="MU"/>
    <m/>
    <n v="6"/>
    <s v=""/>
    <s v="25000"/>
    <s v="Doubs"/>
    <x v="12"/>
    <s v="GINKO"/>
    <s v="LINKY"/>
    <n v="2"/>
    <b v="1"/>
    <b v="1"/>
    <b v="0"/>
    <b v="1"/>
    <b v="0"/>
    <b v="0"/>
    <s v="F130B"/>
    <s v="Téléopération"/>
    <n v="0.01"/>
    <n v="0.01"/>
    <m/>
    <m/>
  </r>
  <r>
    <s v="07238205427113"/>
    <s v="2"/>
    <s v="CU"/>
    <s v=""/>
    <n v="12"/>
    <s v="SERVC"/>
    <s v="GRD-F051"/>
    <m/>
    <m/>
    <m/>
    <m/>
    <s v="FC000142"/>
    <s v="2"/>
    <s v="CU"/>
    <m/>
    <n v="12"/>
    <s v=""/>
    <s v="75011"/>
    <s v="Par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327930534139"/>
    <s v="2"/>
    <s v="MU"/>
    <s v=""/>
    <n v="12"/>
    <s v="SERVC"/>
    <s v="GRD-F027"/>
    <m/>
    <m/>
    <m/>
    <m/>
    <s v="FC000044"/>
    <s v="2"/>
    <s v="MU"/>
    <m/>
    <n v="12"/>
    <s v=""/>
    <s v="85750"/>
    <s v="Vendé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14419970954350"/>
    <s v="2"/>
    <s v="MU"/>
    <s v=""/>
    <n v="6"/>
    <s v="SERVC"/>
    <s v="PROTOC-501"/>
    <m/>
    <m/>
    <m/>
    <m/>
    <s v="FC000032"/>
    <s v="2"/>
    <s v="MU"/>
    <m/>
    <n v="6"/>
    <s v=""/>
    <s v="35480"/>
    <s v="Ille-et-Vilain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4489001381437"/>
    <s v="1"/>
    <s v="CU"/>
    <s v=""/>
    <n v="6"/>
    <s v="SERVC"/>
    <s v="GRD-F027"/>
    <m/>
    <m/>
    <m/>
    <m/>
    <s v="FC000022"/>
    <s v="1"/>
    <s v="CU"/>
    <m/>
    <n v="6"/>
    <s v=""/>
    <s v="35370"/>
    <s v="Ille-et-Vilain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01535889989399"/>
    <s v="2"/>
    <s v="MU"/>
    <s v=""/>
    <n v="6"/>
    <s v="SERVC"/>
    <s v="GRD-F006"/>
    <m/>
    <m/>
    <m/>
    <m/>
    <s v="FC000040"/>
    <s v="2"/>
    <s v="MU"/>
    <m/>
    <n v="6"/>
    <s v=""/>
    <s v="59495"/>
    <s v="Nord"/>
    <x v="2"/>
    <s v="GINKO"/>
    <s v="LINKY"/>
    <n v="2"/>
    <b v="1"/>
    <b v="1"/>
    <b v="0"/>
    <b v="0"/>
    <b v="0"/>
    <b v="0"/>
    <s v="F130B"/>
    <s v="Téléopération"/>
    <n v="0.01"/>
    <n v="0.01"/>
    <m/>
    <m/>
  </r>
  <r>
    <s v="14640086780989"/>
    <s v="1"/>
    <s v="CU"/>
    <s v=""/>
    <n v="6"/>
    <s v="SERVC"/>
    <s v="GRD-F003"/>
    <m/>
    <m/>
    <m/>
    <m/>
    <s v="FC000010"/>
    <s v="1"/>
    <s v="CU"/>
    <m/>
    <n v="6"/>
    <s v=""/>
    <s v="29200"/>
    <s v="Finistèr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4807235857727"/>
    <s v="2"/>
    <s v="MU"/>
    <s v=""/>
    <n v="9"/>
    <s v="SERVC"/>
    <s v="PROTOC-501"/>
    <m/>
    <m/>
    <m/>
    <m/>
    <s v="FC000032"/>
    <s v="2"/>
    <s v="MU"/>
    <m/>
    <n v="9"/>
    <s v=""/>
    <s v="56750"/>
    <s v="Morbihan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5253979656309"/>
    <s v="2"/>
    <s v="MU"/>
    <s v=""/>
    <n v="9"/>
    <s v="SERVC"/>
    <s v="PROTOC-501"/>
    <m/>
    <m/>
    <m/>
    <m/>
    <s v="FC000032"/>
    <s v="2"/>
    <s v="MU"/>
    <m/>
    <n v="9"/>
    <s v=""/>
    <s v="17320"/>
    <s v="Charente Maritime"/>
    <x v="13"/>
    <s v="GINKO"/>
    <s v="LINKY"/>
    <n v="2"/>
    <b v="1"/>
    <b v="1"/>
    <b v="0"/>
    <b v="0"/>
    <b v="0"/>
    <b v="0"/>
    <s v="F130B"/>
    <s v="Téléopération"/>
    <n v="0.01"/>
    <n v="0.01"/>
    <m/>
    <m/>
  </r>
  <r>
    <s v="17115774224342"/>
    <s v="1"/>
    <s v="CU"/>
    <s v=""/>
    <n v="6"/>
    <s v="SERVC"/>
    <s v="GRD-F051"/>
    <m/>
    <m/>
    <m/>
    <m/>
    <s v="FC000147"/>
    <s v="1"/>
    <s v="CU"/>
    <m/>
    <n v="6"/>
    <s v=""/>
    <s v="63115"/>
    <s v="Puy-de-Dôme"/>
    <x v="1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7183357354401"/>
    <s v="2"/>
    <s v="CU"/>
    <s v=""/>
    <n v="9"/>
    <s v="SERVC"/>
    <s v="GRD-F051"/>
    <m/>
    <m/>
    <m/>
    <m/>
    <s v="FC000142"/>
    <s v="2"/>
    <s v="MU"/>
    <m/>
    <n v="9"/>
    <s v=""/>
    <s v="63200"/>
    <s v="Puy-de-Dôme"/>
    <x v="14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19467149014458"/>
    <s v="1"/>
    <s v="CU"/>
    <s v=""/>
    <n v="18"/>
    <s v="SERVC"/>
    <s v="GRD-F051"/>
    <m/>
    <m/>
    <m/>
    <m/>
    <s v="FC000147"/>
    <s v="1"/>
    <s v="CU"/>
    <m/>
    <n v="18"/>
    <s v=""/>
    <s v="69290"/>
    <s v="Rhône"/>
    <x v="1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9786107074902"/>
    <s v="1"/>
    <s v="CU"/>
    <s v=""/>
    <n v="9"/>
    <s v="SERVC"/>
    <s v="GRD-F006"/>
    <m/>
    <m/>
    <m/>
    <m/>
    <s v="FC000018"/>
    <s v="1"/>
    <s v="CU"/>
    <m/>
    <n v="9"/>
    <s v=""/>
    <s v="26200"/>
    <s v="Drôme"/>
    <x v="15"/>
    <s v="GINKO"/>
    <s v="LINKY"/>
    <n v="2"/>
    <b v="1"/>
    <b v="1"/>
    <b v="0"/>
    <b v="0"/>
    <b v="0"/>
    <b v="0"/>
    <s v="F130B"/>
    <s v="Téléopération"/>
    <n v="0.01"/>
    <n v="0.01"/>
    <m/>
    <m/>
  </r>
  <r>
    <s v="19882633840580"/>
    <s v="1"/>
    <s v="CU"/>
    <s v=""/>
    <n v="6"/>
    <s v="SERVC"/>
    <s v="GRD-F051"/>
    <m/>
    <m/>
    <m/>
    <m/>
    <s v="FC000147"/>
    <s v="1"/>
    <s v="CU"/>
    <m/>
    <n v="6"/>
    <s v=""/>
    <s v="42650"/>
    <s v="Loire"/>
    <x v="1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2165846586613"/>
    <s v="2"/>
    <s v="MU"/>
    <s v=""/>
    <n v="9"/>
    <s v="SERVC"/>
    <s v="GRD-F051"/>
    <m/>
    <m/>
    <m/>
    <m/>
    <s v="FC000142"/>
    <s v="2"/>
    <s v="MU"/>
    <m/>
    <n v="9"/>
    <s v=""/>
    <s v="76800"/>
    <s v="Seine-Maritime"/>
    <x v="16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2432561503494"/>
    <s v="1"/>
    <s v="CU"/>
    <s v=""/>
    <n v="6"/>
    <s v="SERVC"/>
    <s v="GRD-F051"/>
    <m/>
    <m/>
    <m/>
    <m/>
    <s v="FC000147"/>
    <s v="1"/>
    <s v="CU"/>
    <m/>
    <n v="6"/>
    <s v=""/>
    <s v="14000"/>
    <s v="Calvados"/>
    <x v="1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506078044860"/>
    <s v="1"/>
    <s v="CU"/>
    <s v=""/>
    <n v="9"/>
    <s v="SERVC"/>
    <s v="GRD-F051"/>
    <m/>
    <m/>
    <m/>
    <m/>
    <s v="FC000147"/>
    <s v="1"/>
    <s v="CU"/>
    <m/>
    <n v="9"/>
    <s v=""/>
    <s v="34160"/>
    <s v="Hérault"/>
    <x v="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528075197635"/>
    <s v="1"/>
    <s v="CU"/>
    <s v=""/>
    <n v="9"/>
    <s v="SERVC"/>
    <s v="GRD-F006"/>
    <m/>
    <m/>
    <m/>
    <m/>
    <s v="FC000018"/>
    <s v="1"/>
    <s v="CU"/>
    <m/>
    <n v="9"/>
    <s v=""/>
    <s v="30900"/>
    <s v="Gard"/>
    <x v="7"/>
    <s v="GINKO"/>
    <s v="LINKY"/>
    <n v="2"/>
    <b v="1"/>
    <b v="1"/>
    <b v="0"/>
    <b v="0"/>
    <b v="0"/>
    <b v="0"/>
    <s v="F130B"/>
    <s v="Téléopération"/>
    <n v="0.01"/>
    <n v="0.01"/>
    <m/>
    <m/>
  </r>
  <r>
    <s v="25348769848340"/>
    <s v="1"/>
    <s v="CU"/>
    <s v=""/>
    <n v="6"/>
    <s v="SERVC"/>
    <s v="GRD-F051"/>
    <m/>
    <m/>
    <m/>
    <m/>
    <s v="FC000147"/>
    <s v="1"/>
    <s v="CU"/>
    <m/>
    <n v="6"/>
    <s v=""/>
    <s v="83130"/>
    <s v="Var"/>
    <x v="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922865364821"/>
    <s v="1"/>
    <s v="CU"/>
    <s v=""/>
    <n v="3"/>
    <s v="SERVC"/>
    <s v="PROTOC-501"/>
    <m/>
    <m/>
    <m/>
    <m/>
    <s v="FC000010"/>
    <s v="1"/>
    <s v="CU"/>
    <m/>
    <n v="18"/>
    <s v=""/>
    <s v="06130"/>
    <s v="Alpes-Maritimes"/>
    <x v="8"/>
    <s v="GINKO"/>
    <s v="CBE"/>
    <n v="0"/>
    <b v="0"/>
    <b v="1"/>
    <b v="0"/>
    <b v="0"/>
    <b v="0"/>
    <b v="1"/>
    <s v="F130B"/>
    <s v="Déplacement sur site"/>
    <n v="0.01"/>
    <n v="1"/>
    <m/>
    <s v="Changement de structure tarifaire sur compteur CBE"/>
  </r>
  <r>
    <s v="04328798808850"/>
    <s v="1"/>
    <s v="CU"/>
    <s v=""/>
    <n v="6"/>
    <s v="SERVC"/>
    <s v="GRD-F051"/>
    <m/>
    <m/>
    <m/>
    <m/>
    <s v="FC000147"/>
    <s v="1"/>
    <s v="CU"/>
    <m/>
    <n v="6"/>
    <s v=""/>
    <s v="51370"/>
    <s v="Marne"/>
    <x v="9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5201591875504"/>
    <s v="2"/>
    <s v="MU"/>
    <s v=""/>
    <n v="6"/>
    <s v="SERVC"/>
    <s v="GRD-F027"/>
    <m/>
    <m/>
    <m/>
    <m/>
    <s v="FC000044"/>
    <s v="2"/>
    <s v="MU"/>
    <m/>
    <n v="6"/>
    <s v=""/>
    <s v="55500"/>
    <s v="Meuse"/>
    <x v="10"/>
    <s v="GINKO"/>
    <s v="LINKY"/>
    <n v="2"/>
    <b v="1"/>
    <b v="1"/>
    <b v="0"/>
    <b v="0"/>
    <b v="0"/>
    <b v="0"/>
    <s v="F130B"/>
    <s v="Téléopération"/>
    <n v="0.01"/>
    <n v="0.01"/>
    <m/>
    <m/>
  </r>
  <r>
    <s v="05282633852284"/>
    <s v="2"/>
    <s v="CU"/>
    <s v=""/>
    <n v="12"/>
    <s v="SERVC"/>
    <s v="PROTOC-501"/>
    <m/>
    <m/>
    <m/>
    <m/>
    <s v="FC000032"/>
    <s v="2"/>
    <s v="MU4"/>
    <m/>
    <n v="12"/>
    <s v=""/>
    <s v="52000"/>
    <s v="Haute-Marne"/>
    <x v="9"/>
    <s v="GINKO"/>
    <s v="LINKY"/>
    <n v="2"/>
    <b v="1"/>
    <b v="1"/>
    <b v="0"/>
    <b v="1"/>
    <b v="0"/>
    <b v="0"/>
    <s v="F130B"/>
    <s v="Téléopération"/>
    <n v="0.01"/>
    <n v="0.01"/>
    <m/>
    <m/>
  </r>
  <r>
    <s v="05520115707256"/>
    <s v="1"/>
    <s v="CU"/>
    <s v=""/>
    <n v="6"/>
    <s v="SERVC"/>
    <s v="GRD-F051"/>
    <m/>
    <m/>
    <m/>
    <m/>
    <s v="FC000147"/>
    <s v="1"/>
    <s v="CU"/>
    <m/>
    <n v="6"/>
    <s v=""/>
    <s v="57220"/>
    <s v="Moselle"/>
    <x v="1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6321852327986"/>
    <s v="2"/>
    <s v="MU"/>
    <s v=""/>
    <n v="15"/>
    <s v="SERVC"/>
    <s v="PROTOC-501"/>
    <m/>
    <m/>
    <m/>
    <m/>
    <s v="FC000032"/>
    <s v="2"/>
    <s v="MU"/>
    <m/>
    <n v="15"/>
    <s v=""/>
    <s v="68970"/>
    <s v="Haut-Rhin"/>
    <x v="11"/>
    <s v="GINKO"/>
    <s v="LINKY"/>
    <n v="2"/>
    <b v="1"/>
    <b v="1"/>
    <b v="0"/>
    <b v="0"/>
    <b v="0"/>
    <b v="0"/>
    <s v="F130B"/>
    <s v="Téléopération"/>
    <n v="0.01"/>
    <n v="0.01"/>
    <m/>
    <m/>
  </r>
  <r>
    <s v="24503039046820"/>
    <s v="1"/>
    <s v="CU"/>
    <s v=""/>
    <n v="6"/>
    <s v="SERVC"/>
    <s v="GRD-F006"/>
    <m/>
    <m/>
    <m/>
    <m/>
    <s v="FC000018"/>
    <s v="1"/>
    <s v="CU"/>
    <m/>
    <n v="6"/>
    <s v=""/>
    <s v="30900"/>
    <s v="Gard"/>
    <x v="7"/>
    <s v="GINKO"/>
    <s v="LINKY"/>
    <n v="2"/>
    <b v="1"/>
    <b v="1"/>
    <b v="0"/>
    <b v="0"/>
    <b v="0"/>
    <b v="0"/>
    <s v="F130B"/>
    <s v="Téléopération"/>
    <n v="0.01"/>
    <n v="0.01"/>
    <m/>
    <m/>
  </r>
  <r>
    <s v="04230390720150"/>
    <s v="2"/>
    <s v="MU"/>
    <s v=""/>
    <n v="9"/>
    <s v="SERVC"/>
    <s v="GRD-F051"/>
    <m/>
    <m/>
    <m/>
    <m/>
    <s v="FC000142"/>
    <s v="2"/>
    <s v="MU"/>
    <m/>
    <n v="9"/>
    <s v=""/>
    <s v="08000"/>
    <s v="Ardennes"/>
    <x v="9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159478956441"/>
    <s v="2"/>
    <s v="CU"/>
    <s v=""/>
    <n v="9"/>
    <s v="SERVC"/>
    <s v="GRD-F027"/>
    <m/>
    <m/>
    <m/>
    <m/>
    <s v="FC000044"/>
    <s v="2"/>
    <s v="MU"/>
    <m/>
    <n v="9"/>
    <s v=""/>
    <s v="13013"/>
    <s v="Bouches du Rhône"/>
    <x v="8"/>
    <s v="GINKO"/>
    <s v="LINKY"/>
    <n v="2"/>
    <b v="1"/>
    <b v="1"/>
    <b v="0"/>
    <b v="1"/>
    <b v="0"/>
    <b v="0"/>
    <s v="F130B"/>
    <s v="Téléopération"/>
    <n v="0.01"/>
    <n v="0.01"/>
    <m/>
    <m/>
  </r>
  <r>
    <s v="25479015895687"/>
    <s v="2"/>
    <s v="CU"/>
    <s v=""/>
    <n v="6"/>
    <s v="SERVC"/>
    <s v="GRD-F051"/>
    <m/>
    <m/>
    <m/>
    <m/>
    <s v="FC000142"/>
    <s v="2"/>
    <s v="CU"/>
    <m/>
    <n v="6"/>
    <s v=""/>
    <s v="06500"/>
    <s v="Alpes-Maritimes"/>
    <x v="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5131548466509"/>
    <s v="1"/>
    <s v="CU"/>
    <s v=""/>
    <n v="6"/>
    <s v="SERVC"/>
    <s v="GRD-F051"/>
    <m/>
    <m/>
    <m/>
    <m/>
    <s v="FC000147"/>
    <s v="1"/>
    <s v="CU"/>
    <m/>
    <n v="6"/>
    <s v=""/>
    <s v="54250"/>
    <s v="Meurthe-et-Moselle"/>
    <x v="1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233719188108"/>
    <s v="1"/>
    <s v="CU"/>
    <s v=""/>
    <n v="6"/>
    <s v="SERVC"/>
    <s v="GRD-F027"/>
    <m/>
    <m/>
    <m/>
    <m/>
    <s v="FC000022"/>
    <s v="1"/>
    <s v="CU"/>
    <m/>
    <n v="6"/>
    <s v=""/>
    <s v="59300"/>
    <s v="Nord"/>
    <x v="2"/>
    <s v="GINKO"/>
    <s v="LINKY"/>
    <n v="2"/>
    <b v="1"/>
    <b v="1"/>
    <b v="0"/>
    <b v="0"/>
    <b v="0"/>
    <b v="0"/>
    <s v="F130B"/>
    <s v="Téléopération"/>
    <n v="0.01"/>
    <n v="0.01"/>
    <m/>
    <m/>
  </r>
  <r>
    <s v="07181765502251"/>
    <s v="2"/>
    <s v="MU"/>
    <s v=""/>
    <n v="6"/>
    <s v="SERVC"/>
    <s v="GRD-F051"/>
    <m/>
    <m/>
    <m/>
    <m/>
    <s v="FC000142"/>
    <s v="2"/>
    <s v="MU"/>
    <m/>
    <n v="6"/>
    <s v=""/>
    <s v="75010"/>
    <s v="Par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246020233334"/>
    <s v="1"/>
    <s v="CU"/>
    <s v=""/>
    <n v="9"/>
    <s v="SERVC"/>
    <s v="GRD-F027"/>
    <m/>
    <m/>
    <m/>
    <m/>
    <s v="FC000022"/>
    <s v="1"/>
    <s v="CU"/>
    <m/>
    <n v="9"/>
    <s v=""/>
    <s v="59300"/>
    <s v="Nord"/>
    <x v="2"/>
    <s v="GINKO"/>
    <s v="LINKY"/>
    <n v="2"/>
    <b v="1"/>
    <b v="1"/>
    <b v="0"/>
    <b v="0"/>
    <b v="0"/>
    <b v="0"/>
    <s v="F130B"/>
    <s v="Téléopération"/>
    <n v="0.01"/>
    <n v="0.01"/>
    <m/>
    <m/>
  </r>
  <r>
    <s v="09535600521688"/>
    <s v="2"/>
    <s v="MU"/>
    <s v=""/>
    <n v="6"/>
    <s v="SERVC"/>
    <s v="GRD-F027"/>
    <m/>
    <m/>
    <m/>
    <m/>
    <s v="FC000044"/>
    <s v="2"/>
    <s v="MU"/>
    <m/>
    <n v="6"/>
    <s v=""/>
    <s v="45000"/>
    <s v="Loiret"/>
    <x v="1"/>
    <s v="GINKO"/>
    <s v="LINKY"/>
    <n v="1"/>
    <b v="1"/>
    <b v="1"/>
    <b v="0"/>
    <b v="0"/>
    <b v="0"/>
    <b v="0"/>
    <s v="F130B"/>
    <s v="Téléopération"/>
    <n v="0.01"/>
    <n v="0.01"/>
    <m/>
    <m/>
  </r>
  <r>
    <s v="12108104179215"/>
    <s v="1"/>
    <s v="CU"/>
    <s v=""/>
    <n v="9"/>
    <s v="SERVC"/>
    <s v="GRD-F051"/>
    <m/>
    <m/>
    <m/>
    <m/>
    <s v="FC000142"/>
    <s v="2"/>
    <s v="MU"/>
    <m/>
    <n v="9"/>
    <s v=""/>
    <s v="71110"/>
    <s v="Saône-et-Loire"/>
    <x v="18"/>
    <s v="GINKO"/>
    <s v="CBE"/>
    <n v="0"/>
    <b v="0"/>
    <b v="0"/>
    <b v="1"/>
    <b v="1"/>
    <b v="0"/>
    <b v="0"/>
    <s v="Non recevable"/>
    <s v="NA"/>
    <n v="0"/>
    <n v="0"/>
    <s v="Le contrat cible et le contrat source sont identiques"/>
    <m/>
  </r>
  <r>
    <s v="12137771284298"/>
    <s v="1"/>
    <s v="CU"/>
    <s v=""/>
    <n v="6"/>
    <s v="SERVC"/>
    <s v="GRD-F027"/>
    <m/>
    <m/>
    <m/>
    <m/>
    <s v="FC000022"/>
    <s v="1"/>
    <s v="CU"/>
    <m/>
    <n v="6"/>
    <s v=""/>
    <s v="71118"/>
    <s v="Saône-et-Loire"/>
    <x v="18"/>
    <s v="GINKO"/>
    <s v="LINKY"/>
    <n v="2"/>
    <b v="1"/>
    <b v="1"/>
    <b v="0"/>
    <b v="0"/>
    <b v="0"/>
    <b v="0"/>
    <s v="F130B"/>
    <s v="Téléopération"/>
    <n v="0.01"/>
    <n v="0.01"/>
    <m/>
    <m/>
  </r>
  <r>
    <s v="12169030330605"/>
    <s v="1"/>
    <s v="CU"/>
    <s v=""/>
    <n v="6"/>
    <s v="SERVC"/>
    <s v="GRD-F051"/>
    <m/>
    <m/>
    <m/>
    <m/>
    <s v="FC000147"/>
    <s v="1"/>
    <s v="CU"/>
    <m/>
    <n v="6"/>
    <s v=""/>
    <s v="71230"/>
    <s v="Saône-et-Loire"/>
    <x v="1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2201447124473"/>
    <s v="1"/>
    <s v="CU"/>
    <s v=""/>
    <n v="6"/>
    <s v="SERVC"/>
    <s v="GRD-F006"/>
    <m/>
    <m/>
    <m/>
    <m/>
    <s v="FC000018"/>
    <s v="1"/>
    <s v="CU"/>
    <m/>
    <n v="6"/>
    <s v=""/>
    <s v="21850"/>
    <s v="Côte d'Or"/>
    <x v="18"/>
    <s v="GINKO"/>
    <s v="LINKY"/>
    <n v="2"/>
    <b v="1"/>
    <b v="1"/>
    <b v="0"/>
    <b v="0"/>
    <b v="0"/>
    <b v="0"/>
    <s v="F130B"/>
    <s v="Téléopération"/>
    <n v="0.01"/>
    <n v="0.01"/>
    <m/>
    <m/>
  </r>
  <r>
    <s v="01152677212232"/>
    <s v="1"/>
    <s v="CU"/>
    <s v=""/>
    <n v="9"/>
    <s v="SERVC"/>
    <s v="GRD-F051"/>
    <m/>
    <m/>
    <m/>
    <m/>
    <s v="FC000147"/>
    <s v="1"/>
    <s v="CU"/>
    <m/>
    <n v="9"/>
    <s v=""/>
    <s v="59000"/>
    <s v="Nord"/>
    <x v="2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216497820945"/>
    <s v="2"/>
    <s v="MU"/>
    <s v=""/>
    <n v="9"/>
    <s v="SERVC"/>
    <s v="GRD-F051"/>
    <m/>
    <m/>
    <m/>
    <m/>
    <s v="FC000142"/>
    <s v="2"/>
    <s v="MU"/>
    <m/>
    <n v="9"/>
    <s v=""/>
    <s v="59970"/>
    <s v="Nord"/>
    <x v="2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779739484200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x v="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258031762342"/>
    <s v="1"/>
    <s v="CU"/>
    <s v=""/>
    <n v="12"/>
    <s v="SERVC"/>
    <s v="GRD-F051"/>
    <m/>
    <m/>
    <m/>
    <m/>
    <s v="FC000147"/>
    <s v="1"/>
    <s v="CU"/>
    <m/>
    <n v="12"/>
    <s v=""/>
    <s v="59230"/>
    <s v="Nord"/>
    <x v="2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2183502155970"/>
    <s v="1"/>
    <s v="CU"/>
    <s v=""/>
    <n v="9"/>
    <s v="SERVC"/>
    <s v="PROTOC-501"/>
    <m/>
    <m/>
    <m/>
    <m/>
    <s v="FC000010"/>
    <s v="1"/>
    <s v="CU"/>
    <m/>
    <n v="9"/>
    <s v=""/>
    <s v="71450"/>
    <s v="Saône-et-Loire"/>
    <x v="18"/>
    <s v="GINKO"/>
    <s v="LINKY"/>
    <n v="2"/>
    <b v="1"/>
    <b v="1"/>
    <b v="0"/>
    <b v="0"/>
    <b v="0"/>
    <b v="0"/>
    <s v="F130B"/>
    <s v="Téléopération"/>
    <n v="0.01"/>
    <n v="0.01"/>
    <m/>
    <m/>
  </r>
  <r>
    <s v="12220984029366"/>
    <s v="1"/>
    <s v="CU"/>
    <s v=""/>
    <n v="6"/>
    <s v="SERVC"/>
    <s v="GRD-F051"/>
    <m/>
    <m/>
    <m/>
    <m/>
    <s v="FC000147"/>
    <s v="1"/>
    <s v="CU"/>
    <m/>
    <n v="6"/>
    <s v=""/>
    <s v="21000"/>
    <s v="Côte d'Or"/>
    <x v="1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14616307966"/>
    <s v="2"/>
    <s v="CU"/>
    <s v=""/>
    <n v="12"/>
    <s v="SERVC"/>
    <s v="GRD-F006"/>
    <m/>
    <m/>
    <m/>
    <m/>
    <s v="FC000040"/>
    <s v="2"/>
    <s v="MU"/>
    <m/>
    <n v="12"/>
    <s v=""/>
    <s v="44860"/>
    <s v="Loire-Atlantique"/>
    <x v="0"/>
    <s v="GINKO"/>
    <s v="LINKY"/>
    <n v="2"/>
    <b v="1"/>
    <b v="1"/>
    <b v="0"/>
    <b v="1"/>
    <b v="0"/>
    <b v="0"/>
    <s v="F130B"/>
    <s v="Téléopération"/>
    <n v="0.01"/>
    <n v="0.01"/>
    <m/>
    <m/>
  </r>
  <r>
    <s v="14234732230706"/>
    <s v="1"/>
    <s v="CU"/>
    <s v=""/>
    <n v="6"/>
    <s v="SERVC"/>
    <s v="GRD-F051"/>
    <m/>
    <m/>
    <m/>
    <m/>
    <s v="FC000147"/>
    <s v="1"/>
    <s v="CU"/>
    <m/>
    <n v="6"/>
    <s v=""/>
    <s v="4462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1267438471755"/>
    <s v="2"/>
    <s v="CU"/>
    <s v=""/>
    <n v="15"/>
    <s v="SERVC"/>
    <s v="GRD-F027"/>
    <m/>
    <m/>
    <m/>
    <m/>
    <s v="FC000044"/>
    <s v="2"/>
    <s v="CU"/>
    <m/>
    <n v="15"/>
    <s v=""/>
    <s v="78980"/>
    <s v="Yvelines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2203328447220"/>
    <s v="2"/>
    <s v="CU"/>
    <s v=""/>
    <n v="15"/>
    <s v="SERVC"/>
    <s v="GRD-F051"/>
    <m/>
    <m/>
    <m/>
    <m/>
    <s v="FC000142"/>
    <s v="2"/>
    <s v="CU"/>
    <m/>
    <n v="15"/>
    <s v=""/>
    <s v="91140"/>
    <s v="Esson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2483502142714"/>
    <s v="1"/>
    <s v="CU"/>
    <s v=""/>
    <n v="9"/>
    <s v="SERVC"/>
    <s v="GRD-F051"/>
    <m/>
    <m/>
    <m/>
    <m/>
    <s v="FC000147"/>
    <s v="1"/>
    <s v="CU"/>
    <m/>
    <n v="9"/>
    <s v=""/>
    <s v="93160"/>
    <s v="Seine-St-Den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3187554184220"/>
    <s v="1"/>
    <s v="CU"/>
    <s v=""/>
    <n v="9"/>
    <s v="SERVC"/>
    <s v="GRD-F051"/>
    <m/>
    <m/>
    <m/>
    <m/>
    <s v="FC000147"/>
    <s v="1"/>
    <s v="CU"/>
    <m/>
    <n v="9"/>
    <s v=""/>
    <s v="31300"/>
    <s v="Haute-Garonne"/>
    <x v="6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3237915960863"/>
    <s v="1"/>
    <s v="CU"/>
    <s v=""/>
    <n v="6"/>
    <s v="SERVC"/>
    <s v="GRD-F051"/>
    <m/>
    <m/>
    <m/>
    <m/>
    <s v="FC000147"/>
    <s v="1"/>
    <s v="MU4"/>
    <m/>
    <n v="6"/>
    <s v=""/>
    <s v="81150"/>
    <s v="Tarn"/>
    <x v="6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23268306795686"/>
    <s v="2"/>
    <s v="CU"/>
    <s v=""/>
    <n v="18"/>
    <s v="SERVC"/>
    <s v="GRD-F051"/>
    <m/>
    <m/>
    <m/>
    <m/>
    <s v="FC000142"/>
    <s v="2"/>
    <s v="CU"/>
    <m/>
    <n v="18"/>
    <s v=""/>
    <s v="81100"/>
    <s v="Tarn"/>
    <x v="6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390882606201"/>
    <s v="1"/>
    <s v="CU"/>
    <s v=""/>
    <n v="6"/>
    <s v="SERVC"/>
    <s v="GRD-F051"/>
    <m/>
    <m/>
    <m/>
    <m/>
    <s v="FC000147"/>
    <s v="1"/>
    <s v="CU"/>
    <m/>
    <n v="6"/>
    <s v=""/>
    <s v="34070"/>
    <s v="Hérault"/>
    <x v="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2110853805435"/>
    <s v="2"/>
    <s v="CU"/>
    <s v=""/>
    <n v="6"/>
    <s v="SERVC"/>
    <s v="GRD-F027"/>
    <m/>
    <m/>
    <m/>
    <m/>
    <s v="FC000044"/>
    <s v="2"/>
    <s v="CU"/>
    <m/>
    <n v="6"/>
    <s v=""/>
    <s v="71200"/>
    <s v="Saône-et-Loire"/>
    <x v="18"/>
    <s v="GINKO"/>
    <s v="LINKY"/>
    <n v="2"/>
    <b v="1"/>
    <b v="1"/>
    <b v="0"/>
    <b v="0"/>
    <b v="0"/>
    <b v="0"/>
    <s v="F130B"/>
    <s v="Téléopération"/>
    <n v="0.01"/>
    <n v="0.01"/>
    <m/>
    <m/>
  </r>
  <r>
    <s v="14206656951307"/>
    <s v="2"/>
    <s v="MU"/>
    <s v=""/>
    <n v="15"/>
    <s v="SERVC"/>
    <s v="GRD-F051"/>
    <m/>
    <m/>
    <m/>
    <m/>
    <s v="FC000142"/>
    <s v="2"/>
    <s v="MU"/>
    <m/>
    <n v="15"/>
    <s v=""/>
    <s v="4480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95802994699"/>
    <s v="1"/>
    <s v="CU"/>
    <s v=""/>
    <n v="6"/>
    <s v="SERVC"/>
    <s v="GRD-F006"/>
    <m/>
    <m/>
    <m/>
    <m/>
    <s v="FC000018"/>
    <s v="1"/>
    <s v="CU"/>
    <m/>
    <n v="6"/>
    <s v=""/>
    <s v="44340"/>
    <s v="Loire-Atlantiqu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14356584595606"/>
    <s v="1"/>
    <s v="CU"/>
    <s v=""/>
    <n v="6"/>
    <s v="SERVC"/>
    <s v="GRD-F027"/>
    <m/>
    <m/>
    <m/>
    <m/>
    <s v="FC000022"/>
    <s v="1"/>
    <s v="CU"/>
    <m/>
    <n v="6"/>
    <s v=""/>
    <s v="85600"/>
    <s v="Vendé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14453690288654"/>
    <s v="1"/>
    <s v="CU"/>
    <s v=""/>
    <n v="6"/>
    <s v="SERVC"/>
    <s v="PROTOC-501"/>
    <m/>
    <m/>
    <m/>
    <m/>
    <s v="FC000010"/>
    <s v="1"/>
    <s v="MU4"/>
    <m/>
    <n v="6"/>
    <s v=""/>
    <s v="35160"/>
    <s v="Ille-et-Vilaine"/>
    <x v="3"/>
    <s v="GINKO"/>
    <s v="LINKY"/>
    <n v="2"/>
    <b v="1"/>
    <b v="1"/>
    <b v="0"/>
    <b v="1"/>
    <b v="0"/>
    <b v="0"/>
    <s v="F130B"/>
    <s v="Téléopération"/>
    <n v="0.01"/>
    <n v="0.01"/>
    <m/>
    <m/>
  </r>
  <r>
    <s v="14485672926030"/>
    <s v="2"/>
    <s v="MU"/>
    <s v=""/>
    <n v="6"/>
    <s v="SERVC"/>
    <s v="PROTOC-501"/>
    <m/>
    <m/>
    <m/>
    <m/>
    <s v="FC000032"/>
    <s v="2"/>
    <s v="MU"/>
    <m/>
    <n v="6"/>
    <s v=""/>
    <s v="35720"/>
    <s v="Ille-et-Vilain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5431259006722"/>
    <s v="2"/>
    <s v="MU"/>
    <s v=""/>
    <n v="9"/>
    <s v="SERVC"/>
    <s v="GRD-F051"/>
    <m/>
    <m/>
    <m/>
    <m/>
    <s v="FC000142"/>
    <s v="2"/>
    <s v="MU"/>
    <m/>
    <n v="9"/>
    <s v=""/>
    <s v="79000"/>
    <s v="Deux-Sèvres"/>
    <x v="13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6128798659892"/>
    <s v="2"/>
    <s v="CU"/>
    <s v=""/>
    <n v="9"/>
    <s v="SERVC"/>
    <s v="GRD-F052"/>
    <m/>
    <m/>
    <m/>
    <m/>
    <s v="FC000145"/>
    <s v="2"/>
    <s v="CU"/>
    <m/>
    <n v="9"/>
    <s v=""/>
    <s v="33450"/>
    <s v="Gironde"/>
    <x v="19"/>
    <s v="GINKO"/>
    <s v="LINKY"/>
    <n v="2"/>
    <b v="1"/>
    <b v="1"/>
    <b v="0"/>
    <b v="0"/>
    <b v="0"/>
    <b v="0"/>
    <s v="F130B"/>
    <s v="Téléopération"/>
    <n v="0.01"/>
    <n v="0.01"/>
    <m/>
    <m/>
  </r>
  <r>
    <s v="17145151895189"/>
    <s v="1"/>
    <s v="CU"/>
    <s v=""/>
    <n v="6"/>
    <s v="SERVC"/>
    <s v="GRD-F001"/>
    <m/>
    <m/>
    <m/>
    <m/>
    <s v="FC000063"/>
    <s v="1"/>
    <s v="CU"/>
    <m/>
    <n v="6"/>
    <s v=""/>
    <s v="63670"/>
    <s v="Puy-de-Dôme"/>
    <x v="14"/>
    <s v="GINKO"/>
    <s v="LINKY"/>
    <n v="2"/>
    <b v="1"/>
    <b v="1"/>
    <b v="0"/>
    <b v="0"/>
    <b v="0"/>
    <b v="0"/>
    <s v="F130B"/>
    <s v="Téléopération"/>
    <n v="0.01"/>
    <n v="0.01"/>
    <m/>
    <m/>
  </r>
  <r>
    <s v="17394355985724"/>
    <s v="1"/>
    <s v="CU"/>
    <s v=""/>
    <n v="6"/>
    <s v="SERVC"/>
    <s v="GRD-F051"/>
    <m/>
    <m/>
    <m/>
    <m/>
    <s v="FC000147"/>
    <s v="1"/>
    <s v="CU"/>
    <m/>
    <n v="6"/>
    <s v=""/>
    <s v="03200"/>
    <s v="Allier"/>
    <x v="1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2141533935685"/>
    <s v="1"/>
    <s v="CU"/>
    <s v=""/>
    <n v="6"/>
    <s v="SERVC"/>
    <s v="PROTOC-501"/>
    <m/>
    <m/>
    <m/>
    <m/>
    <s v="FC000010"/>
    <s v="1"/>
    <s v="CU"/>
    <m/>
    <n v="6"/>
    <s v=""/>
    <s v="76650"/>
    <s v="Seine-Maritime"/>
    <x v="16"/>
    <s v="GINKO"/>
    <s v="LINKY"/>
    <n v="2"/>
    <b v="1"/>
    <b v="1"/>
    <b v="0"/>
    <b v="0"/>
    <b v="0"/>
    <b v="0"/>
    <s v="F130B"/>
    <s v="Téléopération"/>
    <n v="0.01"/>
    <n v="0.01"/>
    <m/>
    <m/>
  </r>
  <r>
    <s v="19835745252240"/>
    <s v="1"/>
    <s v="CU"/>
    <s v=""/>
    <n v="9"/>
    <s v="SERVC"/>
    <s v="GRD-F051"/>
    <m/>
    <m/>
    <m/>
    <m/>
    <s v="FC000147"/>
    <s v="1"/>
    <s v="MU4"/>
    <m/>
    <n v="9"/>
    <s v=""/>
    <s v="42300"/>
    <s v="Loire"/>
    <x v="15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21146599040177"/>
    <s v="1"/>
    <s v="CU"/>
    <s v=""/>
    <n v="6"/>
    <s v="SERVC"/>
    <s v="PROTOC-501"/>
    <m/>
    <m/>
    <m/>
    <m/>
    <s v="FC000010"/>
    <s v="1"/>
    <s v="CU"/>
    <m/>
    <n v="6"/>
    <s v=""/>
    <s v="78610"/>
    <s v="Yvelines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02156005767382"/>
    <s v="1"/>
    <s v="CU"/>
    <s v=""/>
    <n v="6"/>
    <s v="SERVC"/>
    <s v="GRD-F051"/>
    <m/>
    <m/>
    <m/>
    <m/>
    <s v="FC000147"/>
    <s v="1"/>
    <s v="CU"/>
    <m/>
    <n v="6"/>
    <s v=""/>
    <s v="76520"/>
    <s v="Seine-Maritime"/>
    <x v="16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787409527772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x v="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890882723968"/>
    <s v="2"/>
    <s v="MU"/>
    <s v=""/>
    <n v="6"/>
    <s v="SERVC"/>
    <s v="PROTOC-501"/>
    <m/>
    <m/>
    <m/>
    <m/>
    <s v="FC000032"/>
    <s v="2"/>
    <s v="MU"/>
    <m/>
    <n v="6"/>
    <s v=""/>
    <s v="56100"/>
    <s v="Morbihan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07347901534794"/>
    <s v="1"/>
    <s v="CU"/>
    <s v=""/>
    <n v="6"/>
    <s v="SERVC"/>
    <s v="GRD-F051"/>
    <m/>
    <m/>
    <m/>
    <m/>
    <s v="FC000147"/>
    <s v="1"/>
    <s v="CU"/>
    <m/>
    <n v="6"/>
    <s v=""/>
    <s v="75013"/>
    <s v="Par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108827769167"/>
    <s v="2"/>
    <s v="CU"/>
    <s v=""/>
    <n v="9"/>
    <s v="SERVC"/>
    <s v="PROTOC-501"/>
    <m/>
    <m/>
    <m/>
    <m/>
    <s v="FC000032"/>
    <s v="2"/>
    <s v="MU"/>
    <m/>
    <n v="9"/>
    <s v=""/>
    <s v="72200"/>
    <s v="Sarthe"/>
    <x v="0"/>
    <s v="GINKO"/>
    <s v="LINKY"/>
    <n v="2"/>
    <b v="1"/>
    <b v="1"/>
    <b v="0"/>
    <b v="1"/>
    <b v="0"/>
    <b v="0"/>
    <s v="F130B"/>
    <s v="Téléopération"/>
    <n v="0.01"/>
    <n v="0.01"/>
    <m/>
    <m/>
  </r>
  <r>
    <s v="09315918941515"/>
    <s v="1"/>
    <s v="CU"/>
    <s v=""/>
    <n v="6"/>
    <s v="SERVC"/>
    <s v="GRD-F051"/>
    <m/>
    <m/>
    <m/>
    <m/>
    <s v="FC000147"/>
    <s v="1"/>
    <s v="CU"/>
    <m/>
    <n v="6"/>
    <s v=""/>
    <s v="49300"/>
    <s v="Maine-et-Loir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717944991689"/>
    <s v="1"/>
    <s v="CU"/>
    <s v=""/>
    <n v="6"/>
    <s v="SERVC"/>
    <s v="GRD-F001"/>
    <m/>
    <m/>
    <m/>
    <m/>
    <s v="FC000063"/>
    <s v="1"/>
    <s v="MU"/>
    <m/>
    <n v="6"/>
    <s v=""/>
    <s v="37000"/>
    <s v="Indre-et-Loire"/>
    <x v="1"/>
    <s v="GINKO"/>
    <s v="LINKY"/>
    <n v="2"/>
    <b v="1"/>
    <b v="1"/>
    <b v="0"/>
    <b v="1"/>
    <b v="0"/>
    <b v="0"/>
    <s v="F130B"/>
    <s v="Téléopération"/>
    <n v="0.01"/>
    <n v="0.01"/>
    <m/>
    <m/>
  </r>
  <r>
    <s v="14269753962495"/>
    <s v="1"/>
    <s v="CU"/>
    <s v=""/>
    <n v="6"/>
    <s v="SERVC"/>
    <s v="PROTOC-501"/>
    <m/>
    <m/>
    <m/>
    <m/>
    <s v="FC000010"/>
    <s v="1"/>
    <s v="CU"/>
    <m/>
    <n v="6"/>
    <s v=""/>
    <s v="44600"/>
    <s v="Loire-Atlantiqu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14296671365453"/>
    <s v="1"/>
    <s v="CU"/>
    <s v=""/>
    <n v="6"/>
    <s v="SERVC"/>
    <s v="PROTOC-501"/>
    <m/>
    <m/>
    <m/>
    <m/>
    <s v="FC000010"/>
    <s v="1"/>
    <s v="MU4"/>
    <m/>
    <n v="6"/>
    <s v=""/>
    <s v="44230"/>
    <s v="Loire-Atlantique"/>
    <x v="0"/>
    <s v="GINKO"/>
    <s v="LINKY"/>
    <n v="2"/>
    <b v="1"/>
    <b v="1"/>
    <b v="0"/>
    <b v="1"/>
    <b v="0"/>
    <b v="0"/>
    <s v="F130B"/>
    <s v="Téléopération"/>
    <n v="0.01"/>
    <n v="0.01"/>
    <m/>
    <m/>
  </r>
  <r>
    <s v="14500868247269"/>
    <s v="2"/>
    <s v="MU"/>
    <s v=""/>
    <n v="9"/>
    <s v="SERVC"/>
    <s v="GRD-F027"/>
    <m/>
    <m/>
    <m/>
    <m/>
    <s v="FC000044"/>
    <s v="2"/>
    <s v="MU"/>
    <m/>
    <n v="9"/>
    <s v=""/>
    <s v="22440"/>
    <s v="Côtes d'Armor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4544138852489"/>
    <s v="2"/>
    <s v="CU"/>
    <s v=""/>
    <n v="12"/>
    <s v="SERVC"/>
    <s v="GRD-F051"/>
    <m/>
    <m/>
    <m/>
    <m/>
    <s v="FC000142"/>
    <s v="2"/>
    <s v="MU"/>
    <m/>
    <n v="12"/>
    <s v=""/>
    <s v="22130"/>
    <s v="Côtes d'Armor"/>
    <x v="3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14706656969382"/>
    <s v="2"/>
    <s v="CU"/>
    <s v=""/>
    <n v="12"/>
    <s v="SERVC"/>
    <s v="PROTOC-501"/>
    <m/>
    <m/>
    <m/>
    <m/>
    <s v="FC000032"/>
    <s v="2"/>
    <s v="MU"/>
    <m/>
    <n v="12"/>
    <s v=""/>
    <s v="29910"/>
    <s v="Finistère"/>
    <x v="3"/>
    <s v="GINKO"/>
    <s v="LINKY"/>
    <n v="2"/>
    <b v="1"/>
    <b v="1"/>
    <b v="0"/>
    <b v="1"/>
    <b v="0"/>
    <b v="0"/>
    <s v="F130B"/>
    <s v="Téléopération"/>
    <n v="0.01"/>
    <n v="0.01"/>
    <m/>
    <m/>
  </r>
  <r>
    <s v="15591751061656"/>
    <s v="1"/>
    <s v="CU"/>
    <s v=""/>
    <n v="9"/>
    <s v="SERVC"/>
    <s v="GRD-F027"/>
    <m/>
    <m/>
    <m/>
    <m/>
    <s v="FC000044"/>
    <s v="2"/>
    <s v="CU"/>
    <m/>
    <n v="9"/>
    <s v=""/>
    <s v="87280"/>
    <s v="Haute-Vienne"/>
    <x v="20"/>
    <s v="GINKO"/>
    <s v="CBE"/>
    <n v="0"/>
    <b v="0"/>
    <b v="1"/>
    <b v="1"/>
    <b v="0"/>
    <b v="0"/>
    <b v="0"/>
    <s v="F130B"/>
    <s v="Déplacement sur site"/>
    <n v="0.01"/>
    <n v="1"/>
    <m/>
    <s v="Changement de structure tarifaire sur compteur CBE"/>
  </r>
  <r>
    <s v="16165846545015"/>
    <s v="2"/>
    <s v="MU"/>
    <s v=""/>
    <n v="6"/>
    <s v="SERVC"/>
    <s v="GRD-F051"/>
    <m/>
    <m/>
    <m/>
    <m/>
    <s v="FC000142"/>
    <s v="2"/>
    <s v="MU"/>
    <m/>
    <n v="6"/>
    <s v=""/>
    <s v="33800"/>
    <s v="Gironde"/>
    <x v="19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6478147570520"/>
    <s v="1"/>
    <s v="CU"/>
    <s v=""/>
    <n v="6"/>
    <s v="SERVC"/>
    <s v="GRD-F006"/>
    <m/>
    <m/>
    <m/>
    <m/>
    <s v="FC000018"/>
    <s v="1"/>
    <s v="CU"/>
    <m/>
    <n v="6"/>
    <s v=""/>
    <s v="40465"/>
    <s v="Landes"/>
    <x v="19"/>
    <s v="GINKO"/>
    <s v="LINKY"/>
    <n v="2"/>
    <b v="1"/>
    <b v="1"/>
    <b v="0"/>
    <b v="0"/>
    <b v="0"/>
    <b v="0"/>
    <s v="F130B"/>
    <s v="Téléopération"/>
    <n v="0.01"/>
    <n v="0.01"/>
    <m/>
    <m/>
  </r>
  <r>
    <s v="17183646787958"/>
    <s v="2"/>
    <s v="MU"/>
    <s v=""/>
    <n v="9"/>
    <s v="SERVC"/>
    <s v="GRD-F051"/>
    <m/>
    <m/>
    <m/>
    <m/>
    <s v="FC000142"/>
    <s v="2"/>
    <s v="MU"/>
    <m/>
    <n v="9"/>
    <s v=""/>
    <s v="63000"/>
    <s v="Puy-de-Dôme"/>
    <x v="1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9117221256728"/>
    <s v="2"/>
    <s v="MU"/>
    <s v=""/>
    <n v="6"/>
    <s v="SERVC"/>
    <s v="GRD-F051"/>
    <m/>
    <m/>
    <m/>
    <m/>
    <s v="FC000142"/>
    <s v="2"/>
    <s v="MU"/>
    <m/>
    <n v="6"/>
    <s v=""/>
    <s v="69006"/>
    <s v="Rhône"/>
    <x v="1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9140376265022"/>
    <s v="1"/>
    <s v="CU"/>
    <s v=""/>
    <n v="6"/>
    <s v="SERVC"/>
    <s v="PROTOC-501"/>
    <m/>
    <m/>
    <m/>
    <m/>
    <s v="FC000010"/>
    <s v="1"/>
    <s v="CU"/>
    <m/>
    <n v="6"/>
    <s v=""/>
    <s v="69006"/>
    <s v="Rhône"/>
    <x v="15"/>
    <s v="GINKO"/>
    <s v="LINKY"/>
    <n v="2"/>
    <b v="1"/>
    <b v="1"/>
    <b v="0"/>
    <b v="0"/>
    <b v="0"/>
    <b v="0"/>
    <s v="F130B"/>
    <s v="Téléopération"/>
    <n v="0.01"/>
    <n v="0.01"/>
    <m/>
    <m/>
  </r>
  <r>
    <s v="19569609169156"/>
    <s v="2"/>
    <s v="MU"/>
    <s v=""/>
    <n v="9"/>
    <s v="SERVC"/>
    <s v="GRD-F051"/>
    <m/>
    <m/>
    <m/>
    <m/>
    <s v="FC000142"/>
    <s v="2"/>
    <s v="MU"/>
    <m/>
    <n v="9"/>
    <s v=""/>
    <s v="74100"/>
    <s v="Haute-Savoie"/>
    <x v="1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9986975337177"/>
    <s v="1"/>
    <s v="CU"/>
    <s v=""/>
    <n v="6"/>
    <s v="SERVC"/>
    <s v="GRD-F006"/>
    <m/>
    <m/>
    <m/>
    <m/>
    <s v="FC000018"/>
    <s v="1"/>
    <s v="CU"/>
    <m/>
    <n v="6"/>
    <s v=""/>
    <s v="01000"/>
    <s v="Ain"/>
    <x v="15"/>
    <s v="GINKO"/>
    <s v="LINKY"/>
    <n v="1"/>
    <b v="1"/>
    <b v="1"/>
    <b v="0"/>
    <b v="0"/>
    <b v="0"/>
    <b v="0"/>
    <s v="F130B"/>
    <s v="Téléopération"/>
    <n v="0.01"/>
    <n v="0.01"/>
    <m/>
    <m/>
  </r>
  <r>
    <s v="07321852338565"/>
    <s v="2"/>
    <s v="MU"/>
    <s v=""/>
    <n v="6"/>
    <s v="SERVC"/>
    <s v="GRD-F051"/>
    <m/>
    <m/>
    <m/>
    <m/>
    <s v="FC000142"/>
    <s v="2"/>
    <s v="MU"/>
    <m/>
    <n v="6"/>
    <s v=""/>
    <s v="75013"/>
    <s v="Par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53256065017"/>
    <s v="1"/>
    <s v="CU"/>
    <s v=""/>
    <n v="6"/>
    <s v="SERVC"/>
    <s v="GRD-F051"/>
    <m/>
    <m/>
    <m/>
    <m/>
    <s v="FC000147"/>
    <s v="1"/>
    <s v="CU"/>
    <m/>
    <n v="6"/>
    <s v=""/>
    <s v="4430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910564392213"/>
    <s v="2"/>
    <s v="MU"/>
    <s v=""/>
    <n v="12"/>
    <s v="SERVC"/>
    <s v="GRD-F051"/>
    <m/>
    <m/>
    <m/>
    <m/>
    <s v="FC000142"/>
    <s v="2"/>
    <s v="MU"/>
    <m/>
    <n v="12"/>
    <s v=""/>
    <s v="06410"/>
    <s v="Alpes-Maritimes"/>
    <x v="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610853828480"/>
    <s v="2"/>
    <s v="MU"/>
    <s v=""/>
    <n v="12"/>
    <s v="SERVC"/>
    <s v="GRD-F051"/>
    <m/>
    <m/>
    <m/>
    <m/>
    <s v="FC000142"/>
    <s v="2"/>
    <s v="MU"/>
    <m/>
    <n v="12"/>
    <s v=""/>
    <s v="80540"/>
    <s v="Somme"/>
    <x v="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58610519920"/>
    <s v="2"/>
    <s v="CU"/>
    <s v=""/>
    <n v="9"/>
    <s v="SERVC"/>
    <s v="GRD-F058"/>
    <m/>
    <m/>
    <m/>
    <m/>
    <s v="FC000166"/>
    <s v="2"/>
    <s v="MU"/>
    <m/>
    <n v="9"/>
    <s v=""/>
    <s v="44470"/>
    <s v="Loire-Atlantique"/>
    <x v="0"/>
    <s v="GINKO"/>
    <s v="LINKY"/>
    <n v="2"/>
    <b v="1"/>
    <b v="1"/>
    <b v="0"/>
    <b v="1"/>
    <b v="0"/>
    <b v="0"/>
    <s v="F130B"/>
    <s v="Téléopération"/>
    <n v="0.01"/>
    <n v="0.01"/>
    <m/>
    <m/>
  </r>
  <r>
    <s v="21419970950094"/>
    <s v="1"/>
    <s v="CU"/>
    <s v=""/>
    <n v="6"/>
    <s v="SERVC"/>
    <s v="GRD-F051"/>
    <m/>
    <m/>
    <m/>
    <m/>
    <s v="FC000147"/>
    <s v="1"/>
    <s v="CU"/>
    <m/>
    <n v="6"/>
    <s v=""/>
    <s v="95240"/>
    <s v="Val-d'Ois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26">
  <r>
    <s v="09164544121954"/>
    <s v="1"/>
    <s v="CU"/>
    <s v=""/>
    <n v="12"/>
    <s v="SERVC"/>
    <s v="GRD-F006"/>
    <m/>
    <m/>
    <m/>
    <m/>
    <s v="FC000018"/>
    <s v="1"/>
    <s v="CU"/>
    <m/>
    <n v="12"/>
    <s v=""/>
    <s v="72160"/>
    <s v="Sarthe"/>
    <x v="0"/>
    <s v="GINKO"/>
    <s v="LINKY"/>
    <n v="2"/>
    <b v="1"/>
    <b v="1"/>
    <b v="0"/>
    <b v="0"/>
    <b v="0"/>
    <b v="0"/>
    <s v="F130B"/>
    <x v="0"/>
    <n v="0.01"/>
    <n v="0.01"/>
    <m/>
    <m/>
  </r>
  <r>
    <s v="09780028911863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x v="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797539789041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x v="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388422484103"/>
    <s v="1"/>
    <s v="CU"/>
    <s v=""/>
    <n v="6"/>
    <s v="SERVC"/>
    <s v="GRD-F051"/>
    <m/>
    <m/>
    <m/>
    <m/>
    <s v="FC000147"/>
    <s v="1"/>
    <s v="CU"/>
    <m/>
    <n v="6"/>
    <s v=""/>
    <s v="59165"/>
    <s v="Nord"/>
    <x v="2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521418216821"/>
    <s v="2"/>
    <s v="CU"/>
    <s v=""/>
    <n v="12"/>
    <s v="SERVC"/>
    <s v="GRD-F051"/>
    <m/>
    <m/>
    <m/>
    <m/>
    <s v="FC000142"/>
    <s v="2"/>
    <s v="CU"/>
    <m/>
    <n v="12"/>
    <s v=""/>
    <s v="22190"/>
    <s v="Côtes d'Armor"/>
    <x v="3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635600576120"/>
    <s v="1"/>
    <s v="CU"/>
    <s v=""/>
    <n v="6"/>
    <s v="SERVC"/>
    <s v="PROTOC-501"/>
    <m/>
    <m/>
    <m/>
    <m/>
    <s v="FC000010"/>
    <s v="1"/>
    <s v="CU"/>
    <m/>
    <n v="6"/>
    <s v=""/>
    <s v="29200"/>
    <s v="Finistère"/>
    <x v="3"/>
    <s v="GINKO"/>
    <s v="LINKY"/>
    <n v="2"/>
    <b v="1"/>
    <b v="1"/>
    <b v="0"/>
    <b v="0"/>
    <b v="0"/>
    <b v="0"/>
    <s v="F130B"/>
    <x v="0"/>
    <n v="0.01"/>
    <n v="0.01"/>
    <m/>
    <m/>
  </r>
  <r>
    <s v="21327062106150"/>
    <s v="2"/>
    <s v="MU"/>
    <s v=""/>
    <n v="9"/>
    <s v="SERVC"/>
    <s v="GRD-F051"/>
    <m/>
    <m/>
    <m/>
    <m/>
    <s v="FC000142"/>
    <s v="2"/>
    <s v="MU"/>
    <m/>
    <n v="9"/>
    <s v=""/>
    <s v="92130"/>
    <s v="Hauts-de-Sei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x v="5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22160202552029"/>
    <s v="2"/>
    <s v="MU"/>
    <s v=""/>
    <n v="18"/>
    <s v="SERVC"/>
    <s v="GRD-F027"/>
    <m/>
    <m/>
    <m/>
    <m/>
    <s v="FC000044"/>
    <s v="2"/>
    <s v="CU"/>
    <m/>
    <n v="18"/>
    <s v=""/>
    <s v="77510"/>
    <s v="Seine-et-Marne"/>
    <x v="4"/>
    <s v="GINKO"/>
    <s v="LINKY"/>
    <n v="2"/>
    <b v="1"/>
    <b v="1"/>
    <b v="0"/>
    <b v="1"/>
    <b v="0"/>
    <b v="0"/>
    <s v="F130B"/>
    <x v="0"/>
    <n v="0.01"/>
    <n v="0.01"/>
    <m/>
    <m/>
  </r>
  <r>
    <s v="22290159137484"/>
    <s v="1"/>
    <s v="CU"/>
    <s v=""/>
    <n v="9"/>
    <s v="SERVC"/>
    <s v="GRD-F006"/>
    <m/>
    <m/>
    <m/>
    <m/>
    <s v="FC000018"/>
    <s v="1"/>
    <s v="CU"/>
    <m/>
    <n v="9"/>
    <s v=""/>
    <s v="91120"/>
    <s v="Essonne"/>
    <x v="4"/>
    <s v="GINKO"/>
    <s v="LINKY"/>
    <n v="2"/>
    <b v="1"/>
    <b v="1"/>
    <b v="0"/>
    <b v="0"/>
    <b v="0"/>
    <b v="0"/>
    <s v="F130B"/>
    <x v="0"/>
    <n v="0.01"/>
    <n v="0.01"/>
    <m/>
    <m/>
  </r>
  <r>
    <s v="22575976781746"/>
    <s v="2"/>
    <s v="MU"/>
    <s v=""/>
    <n v="6"/>
    <s v="SERVC"/>
    <s v="GRD-F051"/>
    <m/>
    <m/>
    <m/>
    <m/>
    <s v="FC000142"/>
    <s v="2"/>
    <s v="MU"/>
    <m/>
    <n v="6"/>
    <s v=""/>
    <s v="93600"/>
    <s v="Seine-St-Den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3538060764251"/>
    <s v="1"/>
    <s v="CU"/>
    <s v=""/>
    <n v="6"/>
    <s v="SERVC"/>
    <s v="PROTOC-501"/>
    <m/>
    <m/>
    <m/>
    <m/>
    <s v="FC000010"/>
    <s v="1"/>
    <s v="CU"/>
    <m/>
    <n v="6"/>
    <s v=""/>
    <s v="12000"/>
    <s v="Aveyron"/>
    <x v="6"/>
    <s v="GINKO"/>
    <s v="LINKY"/>
    <n v="2"/>
    <b v="1"/>
    <b v="1"/>
    <b v="0"/>
    <b v="0"/>
    <b v="0"/>
    <b v="0"/>
    <s v="F130B"/>
    <x v="0"/>
    <n v="0.01"/>
    <n v="0.01"/>
    <m/>
    <m/>
  </r>
  <r>
    <s v="24341099817969"/>
    <s v="1"/>
    <s v="CU"/>
    <s v=""/>
    <n v="6"/>
    <s v="SERVC"/>
    <s v="GRD-F051"/>
    <m/>
    <m/>
    <m/>
    <m/>
    <s v="FC000147"/>
    <s v="1"/>
    <s v="CU"/>
    <m/>
    <n v="6"/>
    <s v=""/>
    <s v="34430"/>
    <s v="Hérault"/>
    <x v="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570188123872"/>
    <s v="1"/>
    <s v="CU"/>
    <s v=""/>
    <n v="6"/>
    <s v="SERVC"/>
    <s v="GRD-F001"/>
    <m/>
    <m/>
    <m/>
    <m/>
    <s v="FC000063"/>
    <s v="1"/>
    <s v="CU"/>
    <m/>
    <n v="6"/>
    <s v=""/>
    <s v="30000"/>
    <s v="Gard"/>
    <x v="7"/>
    <s v="GINKO"/>
    <s v="LINKY"/>
    <n v="2"/>
    <b v="1"/>
    <b v="1"/>
    <b v="0"/>
    <b v="0"/>
    <b v="0"/>
    <b v="0"/>
    <s v="F130B"/>
    <x v="0"/>
    <n v="0.01"/>
    <n v="0.01"/>
    <m/>
    <m/>
  </r>
  <r>
    <s v="01328943557999"/>
    <s v="1"/>
    <s v="CU"/>
    <s v=""/>
    <n v="6"/>
    <s v="SERVC"/>
    <s v="GRD-F044"/>
    <m/>
    <m/>
    <m/>
    <m/>
    <s v="FC000123"/>
    <s v="1"/>
    <s v="CU"/>
    <m/>
    <n v="6"/>
    <s v=""/>
    <s v="62210"/>
    <s v="Pas-de-Calais"/>
    <x v="2"/>
    <s v="GINKO"/>
    <s v="LINKY"/>
    <n v="2"/>
    <b v="1"/>
    <b v="1"/>
    <b v="0"/>
    <b v="0"/>
    <b v="0"/>
    <b v="0"/>
    <s v="F130B"/>
    <x v="0"/>
    <n v="0.01"/>
    <n v="0.01"/>
    <m/>
    <m/>
  </r>
  <r>
    <s v="14229377680778"/>
    <s v="1"/>
    <s v="CU"/>
    <s v=""/>
    <n v="9"/>
    <s v="SERVC"/>
    <s v="GRD-F051"/>
    <m/>
    <m/>
    <m/>
    <m/>
    <s v="FC000147"/>
    <s v="1"/>
    <s v="CU"/>
    <m/>
    <n v="9"/>
    <s v=""/>
    <s v="4480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54703220809"/>
    <s v="1"/>
    <s v="CU"/>
    <s v=""/>
    <n v="6"/>
    <s v="SERVC"/>
    <s v="GRD-F051"/>
    <m/>
    <m/>
    <m/>
    <m/>
    <s v="FC000147"/>
    <s v="1"/>
    <s v="CU"/>
    <m/>
    <n v="6"/>
    <s v=""/>
    <s v="4470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82199669190"/>
    <s v="2"/>
    <s v="MU"/>
    <s v=""/>
    <n v="12"/>
    <s v="SERVC"/>
    <s v="GRD-F051"/>
    <m/>
    <m/>
    <m/>
    <m/>
    <s v="FC000142"/>
    <s v="2"/>
    <s v="MU"/>
    <m/>
    <n v="12"/>
    <s v=""/>
    <s v="4462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1241099744510"/>
    <s v="1"/>
    <s v="CU"/>
    <s v=""/>
    <n v="6"/>
    <s v="SERVC"/>
    <s v="GRD-F006"/>
    <m/>
    <m/>
    <m/>
    <m/>
    <s v="FC000018"/>
    <s v="1"/>
    <s v="CU"/>
    <m/>
    <n v="6"/>
    <s v=""/>
    <s v="78710"/>
    <s v="Yvelines"/>
    <x v="4"/>
    <s v="GINKO"/>
    <s v="LINKY"/>
    <n v="2"/>
    <b v="1"/>
    <b v="1"/>
    <b v="0"/>
    <b v="0"/>
    <b v="0"/>
    <b v="0"/>
    <s v="F130B"/>
    <x v="0"/>
    <n v="0.01"/>
    <n v="0.01"/>
    <m/>
    <m/>
  </r>
  <r>
    <s v="21357742276207"/>
    <s v="1"/>
    <s v="CU"/>
    <s v=""/>
    <n v="9"/>
    <s v="SERVC"/>
    <s v="GRD-F006"/>
    <m/>
    <m/>
    <m/>
    <m/>
    <s v="FC000018"/>
    <s v="1"/>
    <s v="CU"/>
    <m/>
    <n v="9"/>
    <s v=""/>
    <s v="92370"/>
    <s v="Hauts-de-Seine"/>
    <x v="4"/>
    <s v="GINKO"/>
    <s v="LINKY"/>
    <n v="2"/>
    <b v="1"/>
    <b v="1"/>
    <b v="0"/>
    <b v="0"/>
    <b v="0"/>
    <b v="0"/>
    <s v="F130B"/>
    <x v="0"/>
    <n v="0.01"/>
    <n v="0.01"/>
    <m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x v="5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22141244538777"/>
    <s v="2"/>
    <s v="MU"/>
    <s v=""/>
    <n v="12"/>
    <s v="SERVC"/>
    <s v="GRD-F051"/>
    <m/>
    <m/>
    <m/>
    <m/>
    <s v="FC000142"/>
    <s v="2"/>
    <s v="MU"/>
    <m/>
    <n v="12"/>
    <s v=""/>
    <s v="77170"/>
    <s v="Seine-et-Mar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2272503584475"/>
    <s v="1"/>
    <s v="CU"/>
    <s v=""/>
    <n v="6"/>
    <s v="SERVC"/>
    <s v="GRD-F006"/>
    <m/>
    <m/>
    <m/>
    <m/>
    <s v="FC000018"/>
    <s v="1"/>
    <s v="CU"/>
    <m/>
    <n v="6"/>
    <s v=""/>
    <s v="91280"/>
    <s v="Essonne"/>
    <x v="4"/>
    <s v="GINKO"/>
    <s v="LINKY"/>
    <n v="2"/>
    <b v="1"/>
    <b v="1"/>
    <b v="0"/>
    <b v="0"/>
    <b v="0"/>
    <b v="0"/>
    <s v="F130B"/>
    <x v="0"/>
    <n v="0.01"/>
    <n v="0.01"/>
    <m/>
    <m/>
  </r>
  <r>
    <s v="22296526753898"/>
    <s v="2"/>
    <s v="CU"/>
    <s v=""/>
    <n v="9"/>
    <s v="SERVC"/>
    <s v="GRD-F051"/>
    <m/>
    <m/>
    <m/>
    <m/>
    <s v="FC000142"/>
    <s v="2"/>
    <s v="CU"/>
    <m/>
    <n v="9"/>
    <s v=""/>
    <s v="91140"/>
    <s v="Esson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2297105602548"/>
    <s v="2"/>
    <s v="MU"/>
    <s v=""/>
    <n v="15"/>
    <s v="SERVC"/>
    <s v="GRD-F051"/>
    <m/>
    <m/>
    <m/>
    <m/>
    <s v="FC000142"/>
    <s v="2"/>
    <s v="MU"/>
    <m/>
    <n v="15"/>
    <s v=""/>
    <s v="91450"/>
    <s v="Esson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4115629490508"/>
    <s v="1"/>
    <s v="CU"/>
    <s v=""/>
    <n v="6"/>
    <s v="SERVC"/>
    <s v="GRD-F051"/>
    <m/>
    <m/>
    <m/>
    <m/>
    <s v="FC000147"/>
    <s v="1"/>
    <s v="CU"/>
    <m/>
    <n v="6"/>
    <s v=""/>
    <s v="02200"/>
    <s v="Aisne"/>
    <x v="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367438429128"/>
    <s v="2"/>
    <s v="MU"/>
    <s v=""/>
    <n v="6"/>
    <s v="SERVC"/>
    <s v="GRD-F051"/>
    <m/>
    <m/>
    <m/>
    <m/>
    <s v="FC000142"/>
    <s v="2"/>
    <s v="MU"/>
    <m/>
    <n v="6"/>
    <s v=""/>
    <s v="34000"/>
    <s v="Hérault"/>
    <x v="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111432587884"/>
    <s v="1"/>
    <s v="CU"/>
    <s v=""/>
    <n v="6"/>
    <s v="SERVC"/>
    <s v="GRD-F051"/>
    <m/>
    <m/>
    <m/>
    <m/>
    <s v="FC000147"/>
    <s v="1"/>
    <s v="CU"/>
    <m/>
    <n v="6"/>
    <s v=""/>
    <s v="13009"/>
    <s v="Bouches du Rhône"/>
    <x v="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283791528239"/>
    <s v="2"/>
    <s v="CU"/>
    <s v=""/>
    <n v="9"/>
    <s v="SERVC"/>
    <s v="PROTOC-501"/>
    <m/>
    <m/>
    <m/>
    <m/>
    <s v="FC000032"/>
    <s v="2"/>
    <s v="MU"/>
    <m/>
    <n v="9"/>
    <s v=""/>
    <s v="13090"/>
    <s v="Bouches du Rhône"/>
    <x v="8"/>
    <s v="GINKO"/>
    <s v="LINKY"/>
    <n v="2"/>
    <b v="1"/>
    <b v="1"/>
    <b v="0"/>
    <b v="1"/>
    <b v="0"/>
    <b v="0"/>
    <s v="F130B"/>
    <x v="0"/>
    <n v="0.01"/>
    <n v="0.01"/>
    <m/>
    <m/>
  </r>
  <r>
    <s v="04302315456404"/>
    <s v="1"/>
    <s v="CU"/>
    <s v=""/>
    <n v="6"/>
    <s v="SERVC"/>
    <s v="GRD-F051"/>
    <m/>
    <m/>
    <m/>
    <m/>
    <s v="FC000147"/>
    <s v="1"/>
    <s v="CU"/>
    <m/>
    <n v="6"/>
    <s v=""/>
    <s v="51100"/>
    <s v="Marne"/>
    <x v="9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5130969555220"/>
    <s v="2"/>
    <s v="MU"/>
    <s v=""/>
    <n v="6"/>
    <s v="SERVC"/>
    <s v="GRD-F051"/>
    <m/>
    <m/>
    <m/>
    <m/>
    <s v="FC000142"/>
    <s v="2"/>
    <s v="MU"/>
    <m/>
    <n v="6"/>
    <s v=""/>
    <s v="54500"/>
    <s v="Meurthe-et-Moselle"/>
    <x v="1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5186975397891"/>
    <s v="1"/>
    <s v="CU"/>
    <s v=""/>
    <n v="9"/>
    <s v="SERVC"/>
    <s v="GRD-F051"/>
    <m/>
    <m/>
    <m/>
    <m/>
    <s v="FC000142"/>
    <s v="2"/>
    <s v="MU4"/>
    <m/>
    <n v="6"/>
    <s v=""/>
    <s v="54110"/>
    <s v="Meurthe-et-Moselle"/>
    <x v="10"/>
    <s v="GINKO"/>
    <s v="LINKY"/>
    <n v="2"/>
    <b v="1"/>
    <b v="0"/>
    <b v="1"/>
    <b v="1"/>
    <b v="0"/>
    <b v="1"/>
    <s v="Non recevable"/>
    <x v="1"/>
    <n v="0"/>
    <n v="0"/>
    <s v="Le contrat cible et le contrat source sont identiques"/>
    <m/>
  </r>
  <r>
    <s v="05410998508420"/>
    <s v="1"/>
    <s v="CU"/>
    <s v=""/>
    <n v="6"/>
    <s v="SERVC"/>
    <s v="GRD-F006"/>
    <m/>
    <m/>
    <m/>
    <m/>
    <s v="FC000018"/>
    <s v="1"/>
    <s v="CU"/>
    <m/>
    <n v="6"/>
    <s v=""/>
    <s v="88100"/>
    <s v="Vosges"/>
    <x v="10"/>
    <s v="GINKO"/>
    <s v="LINKY"/>
    <n v="2"/>
    <b v="1"/>
    <b v="1"/>
    <b v="0"/>
    <b v="0"/>
    <b v="0"/>
    <b v="0"/>
    <s v="F130B"/>
    <x v="0"/>
    <n v="0.01"/>
    <n v="0.01"/>
    <m/>
    <m/>
  </r>
  <r>
    <s v="06305354513287"/>
    <s v="1"/>
    <s v="CU"/>
    <s v=""/>
    <n v="6"/>
    <s v="SERVC"/>
    <s v="GRD-F051"/>
    <m/>
    <m/>
    <m/>
    <m/>
    <s v="FC000147"/>
    <s v="1"/>
    <s v="CU"/>
    <m/>
    <n v="6"/>
    <s v=""/>
    <s v="68260"/>
    <s v="Haut-Rhin"/>
    <x v="1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6537047747086"/>
    <s v="2"/>
    <s v="CU"/>
    <s v=""/>
    <n v="6"/>
    <s v="SERVC"/>
    <s v="GRD-F062"/>
    <m/>
    <m/>
    <m/>
    <m/>
    <s v="FC000178"/>
    <s v="2"/>
    <s v="MU"/>
    <m/>
    <n v="6"/>
    <s v=""/>
    <s v="25000"/>
    <s v="Doubs"/>
    <x v="12"/>
    <s v="GINKO"/>
    <s v="LINKY"/>
    <n v="2"/>
    <b v="1"/>
    <b v="1"/>
    <b v="0"/>
    <b v="1"/>
    <b v="0"/>
    <b v="0"/>
    <s v="F130B"/>
    <x v="0"/>
    <n v="0.01"/>
    <n v="0.01"/>
    <m/>
    <m/>
  </r>
  <r>
    <s v="07238205427113"/>
    <s v="2"/>
    <s v="CU"/>
    <s v=""/>
    <n v="12"/>
    <s v="SERVC"/>
    <s v="GRD-F051"/>
    <m/>
    <m/>
    <m/>
    <m/>
    <s v="FC000142"/>
    <s v="2"/>
    <s v="CU"/>
    <m/>
    <n v="12"/>
    <s v=""/>
    <s v="75011"/>
    <s v="Par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327930534139"/>
    <s v="2"/>
    <s v="MU"/>
    <s v=""/>
    <n v="12"/>
    <s v="SERVC"/>
    <s v="GRD-F027"/>
    <m/>
    <m/>
    <m/>
    <m/>
    <s v="FC000044"/>
    <s v="2"/>
    <s v="MU"/>
    <m/>
    <n v="12"/>
    <s v=""/>
    <s v="85750"/>
    <s v="Vendée"/>
    <x v="0"/>
    <s v="GINKO"/>
    <s v="LINKY"/>
    <n v="2"/>
    <b v="1"/>
    <b v="1"/>
    <b v="0"/>
    <b v="0"/>
    <b v="0"/>
    <b v="0"/>
    <s v="F130B"/>
    <x v="0"/>
    <n v="0.01"/>
    <n v="0.01"/>
    <m/>
    <m/>
  </r>
  <r>
    <s v="14419970954350"/>
    <s v="2"/>
    <s v="MU"/>
    <s v=""/>
    <n v="6"/>
    <s v="SERVC"/>
    <s v="PROTOC-501"/>
    <m/>
    <m/>
    <m/>
    <m/>
    <s v="FC000032"/>
    <s v="2"/>
    <s v="MU"/>
    <m/>
    <n v="6"/>
    <s v=""/>
    <s v="35480"/>
    <s v="Ille-et-Vilaine"/>
    <x v="3"/>
    <s v="GINKO"/>
    <s v="LINKY"/>
    <n v="2"/>
    <b v="1"/>
    <b v="1"/>
    <b v="0"/>
    <b v="0"/>
    <b v="0"/>
    <b v="0"/>
    <s v="F130B"/>
    <x v="0"/>
    <n v="0.01"/>
    <n v="0.01"/>
    <m/>
    <m/>
  </r>
  <r>
    <s v="14489001381437"/>
    <s v="1"/>
    <s v="CU"/>
    <s v=""/>
    <n v="6"/>
    <s v="SERVC"/>
    <s v="GRD-F027"/>
    <m/>
    <m/>
    <m/>
    <m/>
    <s v="FC000022"/>
    <s v="1"/>
    <s v="CU"/>
    <m/>
    <n v="6"/>
    <s v=""/>
    <s v="35370"/>
    <s v="Ille-et-Vilaine"/>
    <x v="3"/>
    <s v="GINKO"/>
    <s v="LINKY"/>
    <n v="2"/>
    <b v="1"/>
    <b v="1"/>
    <b v="0"/>
    <b v="0"/>
    <b v="0"/>
    <b v="0"/>
    <s v="F130B"/>
    <x v="0"/>
    <n v="0.01"/>
    <n v="0.01"/>
    <m/>
    <m/>
  </r>
  <r>
    <s v="01535889989399"/>
    <s v="2"/>
    <s v="MU"/>
    <s v=""/>
    <n v="6"/>
    <s v="SERVC"/>
    <s v="GRD-F006"/>
    <m/>
    <m/>
    <m/>
    <m/>
    <s v="FC000040"/>
    <s v="2"/>
    <s v="MU"/>
    <m/>
    <n v="6"/>
    <s v=""/>
    <s v="59495"/>
    <s v="Nord"/>
    <x v="2"/>
    <s v="GINKO"/>
    <s v="LINKY"/>
    <n v="2"/>
    <b v="1"/>
    <b v="1"/>
    <b v="0"/>
    <b v="0"/>
    <b v="0"/>
    <b v="0"/>
    <s v="F130B"/>
    <x v="0"/>
    <n v="0.01"/>
    <n v="0.01"/>
    <m/>
    <m/>
  </r>
  <r>
    <s v="14640086780989"/>
    <s v="1"/>
    <s v="CU"/>
    <s v=""/>
    <n v="6"/>
    <s v="SERVC"/>
    <s v="GRD-F003"/>
    <m/>
    <m/>
    <m/>
    <m/>
    <s v="FC000010"/>
    <s v="1"/>
    <s v="CU"/>
    <m/>
    <n v="6"/>
    <s v=""/>
    <s v="29200"/>
    <s v="Finistère"/>
    <x v="3"/>
    <s v="GINKO"/>
    <s v="LINKY"/>
    <n v="2"/>
    <b v="1"/>
    <b v="1"/>
    <b v="0"/>
    <b v="0"/>
    <b v="0"/>
    <b v="0"/>
    <s v="F130B"/>
    <x v="0"/>
    <n v="0.01"/>
    <n v="0.01"/>
    <m/>
    <m/>
  </r>
  <r>
    <s v="14807235857727"/>
    <s v="2"/>
    <s v="MU"/>
    <s v=""/>
    <n v="9"/>
    <s v="SERVC"/>
    <s v="PROTOC-501"/>
    <m/>
    <m/>
    <m/>
    <m/>
    <s v="FC000032"/>
    <s v="2"/>
    <s v="MU"/>
    <m/>
    <n v="9"/>
    <s v=""/>
    <s v="56750"/>
    <s v="Morbihan"/>
    <x v="3"/>
    <s v="GINKO"/>
    <s v="LINKY"/>
    <n v="2"/>
    <b v="1"/>
    <b v="1"/>
    <b v="0"/>
    <b v="0"/>
    <b v="0"/>
    <b v="0"/>
    <s v="F130B"/>
    <x v="0"/>
    <n v="0.01"/>
    <n v="0.01"/>
    <m/>
    <m/>
  </r>
  <r>
    <s v="15253979656309"/>
    <s v="2"/>
    <s v="MU"/>
    <s v=""/>
    <n v="9"/>
    <s v="SERVC"/>
    <s v="PROTOC-501"/>
    <m/>
    <m/>
    <m/>
    <m/>
    <s v="FC000032"/>
    <s v="2"/>
    <s v="MU"/>
    <m/>
    <n v="9"/>
    <s v=""/>
    <s v="17320"/>
    <s v="Charente Maritime"/>
    <x v="13"/>
    <s v="GINKO"/>
    <s v="LINKY"/>
    <n v="2"/>
    <b v="1"/>
    <b v="1"/>
    <b v="0"/>
    <b v="0"/>
    <b v="0"/>
    <b v="0"/>
    <s v="F130B"/>
    <x v="0"/>
    <n v="0.01"/>
    <n v="0.01"/>
    <m/>
    <m/>
  </r>
  <r>
    <s v="17115774224342"/>
    <s v="1"/>
    <s v="CU"/>
    <s v=""/>
    <n v="6"/>
    <s v="SERVC"/>
    <s v="GRD-F051"/>
    <m/>
    <m/>
    <m/>
    <m/>
    <s v="FC000147"/>
    <s v="1"/>
    <s v="CU"/>
    <m/>
    <n v="6"/>
    <s v=""/>
    <s v="63115"/>
    <s v="Puy-de-Dôme"/>
    <x v="1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7183357354401"/>
    <s v="2"/>
    <s v="CU"/>
    <s v=""/>
    <n v="9"/>
    <s v="SERVC"/>
    <s v="GRD-F051"/>
    <m/>
    <m/>
    <m/>
    <m/>
    <s v="FC000142"/>
    <s v="2"/>
    <s v="MU"/>
    <m/>
    <n v="9"/>
    <s v=""/>
    <s v="63200"/>
    <s v="Puy-de-Dôme"/>
    <x v="14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19467149014458"/>
    <s v="1"/>
    <s v="CU"/>
    <s v=""/>
    <n v="18"/>
    <s v="SERVC"/>
    <s v="GRD-F051"/>
    <m/>
    <m/>
    <m/>
    <m/>
    <s v="FC000147"/>
    <s v="1"/>
    <s v="CU"/>
    <m/>
    <n v="18"/>
    <s v=""/>
    <s v="69290"/>
    <s v="Rhône"/>
    <x v="1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9786107074902"/>
    <s v="1"/>
    <s v="CU"/>
    <s v=""/>
    <n v="9"/>
    <s v="SERVC"/>
    <s v="GRD-F006"/>
    <m/>
    <m/>
    <m/>
    <m/>
    <s v="FC000018"/>
    <s v="1"/>
    <s v="CU"/>
    <m/>
    <n v="9"/>
    <s v=""/>
    <s v="26200"/>
    <s v="Drôme"/>
    <x v="15"/>
    <s v="GINKO"/>
    <s v="LINKY"/>
    <n v="2"/>
    <b v="1"/>
    <b v="1"/>
    <b v="0"/>
    <b v="0"/>
    <b v="0"/>
    <b v="0"/>
    <s v="F130B"/>
    <x v="0"/>
    <n v="0.01"/>
    <n v="0.01"/>
    <m/>
    <m/>
  </r>
  <r>
    <s v="19882633840580"/>
    <s v="1"/>
    <s v="CU"/>
    <s v=""/>
    <n v="6"/>
    <s v="SERVC"/>
    <s v="GRD-F051"/>
    <m/>
    <m/>
    <m/>
    <m/>
    <s v="FC000147"/>
    <s v="1"/>
    <s v="CU"/>
    <m/>
    <n v="6"/>
    <s v=""/>
    <s v="42650"/>
    <s v="Loire"/>
    <x v="1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2165846586613"/>
    <s v="2"/>
    <s v="MU"/>
    <s v=""/>
    <n v="9"/>
    <s v="SERVC"/>
    <s v="GRD-F051"/>
    <m/>
    <m/>
    <m/>
    <m/>
    <s v="FC000142"/>
    <s v="2"/>
    <s v="MU"/>
    <m/>
    <n v="9"/>
    <s v=""/>
    <s v="76800"/>
    <s v="Seine-Maritime"/>
    <x v="16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2432561503494"/>
    <s v="1"/>
    <s v="CU"/>
    <s v=""/>
    <n v="6"/>
    <s v="SERVC"/>
    <s v="GRD-F051"/>
    <m/>
    <m/>
    <m/>
    <m/>
    <s v="FC000147"/>
    <s v="1"/>
    <s v="CU"/>
    <m/>
    <n v="6"/>
    <s v=""/>
    <s v="14000"/>
    <s v="Calvados"/>
    <x v="1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506078044860"/>
    <s v="1"/>
    <s v="CU"/>
    <s v=""/>
    <n v="9"/>
    <s v="SERVC"/>
    <s v="GRD-F051"/>
    <m/>
    <m/>
    <m/>
    <m/>
    <s v="FC000147"/>
    <s v="1"/>
    <s v="CU"/>
    <m/>
    <n v="9"/>
    <s v=""/>
    <s v="34160"/>
    <s v="Hérault"/>
    <x v="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528075197635"/>
    <s v="1"/>
    <s v="CU"/>
    <s v=""/>
    <n v="9"/>
    <s v="SERVC"/>
    <s v="GRD-F006"/>
    <m/>
    <m/>
    <m/>
    <m/>
    <s v="FC000018"/>
    <s v="1"/>
    <s v="CU"/>
    <m/>
    <n v="9"/>
    <s v=""/>
    <s v="30900"/>
    <s v="Gard"/>
    <x v="7"/>
    <s v="GINKO"/>
    <s v="LINKY"/>
    <n v="2"/>
    <b v="1"/>
    <b v="1"/>
    <b v="0"/>
    <b v="0"/>
    <b v="0"/>
    <b v="0"/>
    <s v="F130B"/>
    <x v="0"/>
    <n v="0.01"/>
    <n v="0.01"/>
    <m/>
    <m/>
  </r>
  <r>
    <s v="25348769848340"/>
    <s v="1"/>
    <s v="CU"/>
    <s v=""/>
    <n v="6"/>
    <s v="SERVC"/>
    <s v="GRD-F051"/>
    <m/>
    <m/>
    <m/>
    <m/>
    <s v="FC000147"/>
    <s v="1"/>
    <s v="CU"/>
    <m/>
    <n v="6"/>
    <s v=""/>
    <s v="83130"/>
    <s v="Var"/>
    <x v="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922865364821"/>
    <s v="1"/>
    <s v="CU"/>
    <s v=""/>
    <n v="3"/>
    <s v="SERVC"/>
    <s v="PROTOC-501"/>
    <m/>
    <m/>
    <m/>
    <m/>
    <s v="FC000010"/>
    <s v="1"/>
    <s v="CU"/>
    <m/>
    <n v="18"/>
    <s v=""/>
    <s v="06130"/>
    <s v="Alpes-Maritimes"/>
    <x v="8"/>
    <s v="GINKO"/>
    <s v="CBE"/>
    <n v="0"/>
    <b v="0"/>
    <b v="1"/>
    <b v="0"/>
    <b v="0"/>
    <b v="0"/>
    <b v="1"/>
    <s v="F130B"/>
    <x v="2"/>
    <n v="0.01"/>
    <n v="1"/>
    <m/>
    <s v="Changement de structure tarifaire sur compteur CBE"/>
  </r>
  <r>
    <s v="04328798808850"/>
    <s v="1"/>
    <s v="CU"/>
    <s v=""/>
    <n v="6"/>
    <s v="SERVC"/>
    <s v="GRD-F051"/>
    <m/>
    <m/>
    <m/>
    <m/>
    <s v="FC000147"/>
    <s v="1"/>
    <s v="CU"/>
    <m/>
    <n v="6"/>
    <s v=""/>
    <s v="51370"/>
    <s v="Marne"/>
    <x v="9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5201591875504"/>
    <s v="2"/>
    <s v="MU"/>
    <s v=""/>
    <n v="6"/>
    <s v="SERVC"/>
    <s v="GRD-F027"/>
    <m/>
    <m/>
    <m/>
    <m/>
    <s v="FC000044"/>
    <s v="2"/>
    <s v="MU"/>
    <m/>
    <n v="6"/>
    <s v=""/>
    <s v="55500"/>
    <s v="Meuse"/>
    <x v="10"/>
    <s v="GINKO"/>
    <s v="LINKY"/>
    <n v="2"/>
    <b v="1"/>
    <b v="1"/>
    <b v="0"/>
    <b v="0"/>
    <b v="0"/>
    <b v="0"/>
    <s v="F130B"/>
    <x v="0"/>
    <n v="0.01"/>
    <n v="0.01"/>
    <m/>
    <m/>
  </r>
  <r>
    <s v="05282633852284"/>
    <s v="2"/>
    <s v="CU"/>
    <s v=""/>
    <n v="12"/>
    <s v="SERVC"/>
    <s v="PROTOC-501"/>
    <m/>
    <m/>
    <m/>
    <m/>
    <s v="FC000032"/>
    <s v="2"/>
    <s v="MU4"/>
    <m/>
    <n v="12"/>
    <s v=""/>
    <s v="52000"/>
    <s v="Haute-Marne"/>
    <x v="9"/>
    <s v="GINKO"/>
    <s v="LINKY"/>
    <n v="2"/>
    <b v="1"/>
    <b v="1"/>
    <b v="0"/>
    <b v="1"/>
    <b v="0"/>
    <b v="0"/>
    <s v="F130B"/>
    <x v="0"/>
    <n v="0.01"/>
    <n v="0.01"/>
    <m/>
    <m/>
  </r>
  <r>
    <s v="05520115707256"/>
    <s v="1"/>
    <s v="CU"/>
    <s v=""/>
    <n v="6"/>
    <s v="SERVC"/>
    <s v="GRD-F051"/>
    <m/>
    <m/>
    <m/>
    <m/>
    <s v="FC000147"/>
    <s v="1"/>
    <s v="CU"/>
    <m/>
    <n v="6"/>
    <s v=""/>
    <s v="57220"/>
    <s v="Moselle"/>
    <x v="1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6321852327986"/>
    <s v="2"/>
    <s v="MU"/>
    <s v=""/>
    <n v="15"/>
    <s v="SERVC"/>
    <s v="PROTOC-501"/>
    <m/>
    <m/>
    <m/>
    <m/>
    <s v="FC000032"/>
    <s v="2"/>
    <s v="MU"/>
    <m/>
    <n v="15"/>
    <s v=""/>
    <s v="68970"/>
    <s v="Haut-Rhin"/>
    <x v="11"/>
    <s v="GINKO"/>
    <s v="LINKY"/>
    <n v="2"/>
    <b v="1"/>
    <b v="1"/>
    <b v="0"/>
    <b v="0"/>
    <b v="0"/>
    <b v="0"/>
    <s v="F130B"/>
    <x v="0"/>
    <n v="0.01"/>
    <n v="0.01"/>
    <m/>
    <m/>
  </r>
  <r>
    <s v="24503039046820"/>
    <s v="1"/>
    <s v="CU"/>
    <s v=""/>
    <n v="6"/>
    <s v="SERVC"/>
    <s v="GRD-F006"/>
    <m/>
    <m/>
    <m/>
    <m/>
    <s v="FC000018"/>
    <s v="1"/>
    <s v="CU"/>
    <m/>
    <n v="6"/>
    <s v=""/>
    <s v="30900"/>
    <s v="Gard"/>
    <x v="7"/>
    <s v="GINKO"/>
    <s v="LINKY"/>
    <n v="2"/>
    <b v="1"/>
    <b v="1"/>
    <b v="0"/>
    <b v="0"/>
    <b v="0"/>
    <b v="0"/>
    <s v="F130B"/>
    <x v="0"/>
    <n v="0.01"/>
    <n v="0.01"/>
    <m/>
    <m/>
  </r>
  <r>
    <s v="04230390720150"/>
    <s v="2"/>
    <s v="MU"/>
    <s v=""/>
    <n v="9"/>
    <s v="SERVC"/>
    <s v="GRD-F051"/>
    <m/>
    <m/>
    <m/>
    <m/>
    <s v="FC000142"/>
    <s v="2"/>
    <s v="MU"/>
    <m/>
    <n v="9"/>
    <s v=""/>
    <s v="08000"/>
    <s v="Ardennes"/>
    <x v="9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159478956441"/>
    <s v="2"/>
    <s v="CU"/>
    <s v=""/>
    <n v="9"/>
    <s v="SERVC"/>
    <s v="GRD-F027"/>
    <m/>
    <m/>
    <m/>
    <m/>
    <s v="FC000044"/>
    <s v="2"/>
    <s v="MU"/>
    <m/>
    <n v="9"/>
    <s v=""/>
    <s v="13013"/>
    <s v="Bouches du Rhône"/>
    <x v="8"/>
    <s v="GINKO"/>
    <s v="LINKY"/>
    <n v="2"/>
    <b v="1"/>
    <b v="1"/>
    <b v="0"/>
    <b v="1"/>
    <b v="0"/>
    <b v="0"/>
    <s v="F130B"/>
    <x v="0"/>
    <n v="0.01"/>
    <n v="0.01"/>
    <m/>
    <m/>
  </r>
  <r>
    <s v="25479015895687"/>
    <s v="2"/>
    <s v="CU"/>
    <s v=""/>
    <n v="6"/>
    <s v="SERVC"/>
    <s v="GRD-F051"/>
    <m/>
    <m/>
    <m/>
    <m/>
    <s v="FC000142"/>
    <s v="2"/>
    <s v="CU"/>
    <m/>
    <n v="6"/>
    <s v=""/>
    <s v="06500"/>
    <s v="Alpes-Maritimes"/>
    <x v="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5131548466509"/>
    <s v="1"/>
    <s v="CU"/>
    <s v=""/>
    <n v="6"/>
    <s v="SERVC"/>
    <s v="GRD-F051"/>
    <m/>
    <m/>
    <m/>
    <m/>
    <s v="FC000147"/>
    <s v="1"/>
    <s v="CU"/>
    <m/>
    <n v="6"/>
    <s v=""/>
    <s v="54250"/>
    <s v="Meurthe-et-Moselle"/>
    <x v="1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233719188108"/>
    <s v="1"/>
    <s v="CU"/>
    <s v=""/>
    <n v="6"/>
    <s v="SERVC"/>
    <s v="GRD-F027"/>
    <m/>
    <m/>
    <m/>
    <m/>
    <s v="FC000022"/>
    <s v="1"/>
    <s v="CU"/>
    <m/>
    <n v="6"/>
    <s v=""/>
    <s v="59300"/>
    <s v="Nord"/>
    <x v="2"/>
    <s v="GINKO"/>
    <s v="LINKY"/>
    <n v="2"/>
    <b v="1"/>
    <b v="1"/>
    <b v="0"/>
    <b v="0"/>
    <b v="0"/>
    <b v="0"/>
    <s v="F130B"/>
    <x v="0"/>
    <n v="0.01"/>
    <n v="0.01"/>
    <m/>
    <m/>
  </r>
  <r>
    <s v="07181765502251"/>
    <s v="2"/>
    <s v="MU"/>
    <s v=""/>
    <n v="6"/>
    <s v="SERVC"/>
    <s v="GRD-F051"/>
    <m/>
    <m/>
    <m/>
    <m/>
    <s v="FC000142"/>
    <s v="2"/>
    <s v="MU"/>
    <m/>
    <n v="6"/>
    <s v=""/>
    <s v="75010"/>
    <s v="Par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246020233334"/>
    <s v="1"/>
    <s v="CU"/>
    <s v=""/>
    <n v="9"/>
    <s v="SERVC"/>
    <s v="GRD-F027"/>
    <m/>
    <m/>
    <m/>
    <m/>
    <s v="FC000022"/>
    <s v="1"/>
    <s v="CU"/>
    <m/>
    <n v="9"/>
    <s v=""/>
    <s v="59300"/>
    <s v="Nord"/>
    <x v="2"/>
    <s v="GINKO"/>
    <s v="LINKY"/>
    <n v="2"/>
    <b v="1"/>
    <b v="1"/>
    <b v="0"/>
    <b v="0"/>
    <b v="0"/>
    <b v="0"/>
    <s v="F130B"/>
    <x v="0"/>
    <n v="0.01"/>
    <n v="0.01"/>
    <m/>
    <m/>
  </r>
  <r>
    <s v="09535600521688"/>
    <s v="2"/>
    <s v="MU"/>
    <s v=""/>
    <n v="6"/>
    <s v="SERVC"/>
    <s v="GRD-F027"/>
    <m/>
    <m/>
    <m/>
    <m/>
    <s v="FC000044"/>
    <s v="2"/>
    <s v="MU"/>
    <m/>
    <n v="6"/>
    <s v=""/>
    <s v="45000"/>
    <s v="Loiret"/>
    <x v="1"/>
    <s v="GINKO"/>
    <s v="LINKY"/>
    <n v="1"/>
    <b v="1"/>
    <b v="1"/>
    <b v="0"/>
    <b v="0"/>
    <b v="0"/>
    <b v="0"/>
    <s v="F130B"/>
    <x v="0"/>
    <n v="0.01"/>
    <n v="0.01"/>
    <m/>
    <m/>
  </r>
  <r>
    <s v="12108104179215"/>
    <s v="1"/>
    <s v="CU"/>
    <s v=""/>
    <n v="9"/>
    <s v="SERVC"/>
    <s v="GRD-F051"/>
    <m/>
    <m/>
    <m/>
    <m/>
    <s v="FC000142"/>
    <s v="2"/>
    <s v="MU"/>
    <m/>
    <n v="9"/>
    <s v=""/>
    <s v="71110"/>
    <s v="Saône-et-Loire"/>
    <x v="18"/>
    <s v="GINKO"/>
    <s v="CBE"/>
    <n v="0"/>
    <b v="0"/>
    <b v="0"/>
    <b v="1"/>
    <b v="1"/>
    <b v="0"/>
    <b v="0"/>
    <s v="Non recevable"/>
    <x v="1"/>
    <n v="0"/>
    <n v="0"/>
    <s v="Le contrat cible et le contrat source sont identiques"/>
    <m/>
  </r>
  <r>
    <s v="12137771284298"/>
    <s v="1"/>
    <s v="CU"/>
    <s v=""/>
    <n v="6"/>
    <s v="SERVC"/>
    <s v="GRD-F027"/>
    <m/>
    <m/>
    <m/>
    <m/>
    <s v="FC000022"/>
    <s v="1"/>
    <s v="CU"/>
    <m/>
    <n v="6"/>
    <s v=""/>
    <s v="71118"/>
    <s v="Saône-et-Loire"/>
    <x v="18"/>
    <s v="GINKO"/>
    <s v="LINKY"/>
    <n v="2"/>
    <b v="1"/>
    <b v="1"/>
    <b v="0"/>
    <b v="0"/>
    <b v="0"/>
    <b v="0"/>
    <s v="F130B"/>
    <x v="0"/>
    <n v="0.01"/>
    <n v="0.01"/>
    <m/>
    <m/>
  </r>
  <r>
    <s v="12169030330605"/>
    <s v="1"/>
    <s v="CU"/>
    <s v=""/>
    <n v="6"/>
    <s v="SERVC"/>
    <s v="GRD-F051"/>
    <m/>
    <m/>
    <m/>
    <m/>
    <s v="FC000147"/>
    <s v="1"/>
    <s v="CU"/>
    <m/>
    <n v="6"/>
    <s v=""/>
    <s v="71230"/>
    <s v="Saône-et-Loire"/>
    <x v="1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2201447124473"/>
    <s v="1"/>
    <s v="CU"/>
    <s v=""/>
    <n v="6"/>
    <s v="SERVC"/>
    <s v="GRD-F006"/>
    <m/>
    <m/>
    <m/>
    <m/>
    <s v="FC000018"/>
    <s v="1"/>
    <s v="CU"/>
    <m/>
    <n v="6"/>
    <s v=""/>
    <s v="21850"/>
    <s v="Côte d'Or"/>
    <x v="18"/>
    <s v="GINKO"/>
    <s v="LINKY"/>
    <n v="2"/>
    <b v="1"/>
    <b v="1"/>
    <b v="0"/>
    <b v="0"/>
    <b v="0"/>
    <b v="0"/>
    <s v="F130B"/>
    <x v="0"/>
    <n v="0.01"/>
    <n v="0.01"/>
    <m/>
    <m/>
  </r>
  <r>
    <s v="01152677212232"/>
    <s v="1"/>
    <s v="CU"/>
    <s v=""/>
    <n v="9"/>
    <s v="SERVC"/>
    <s v="GRD-F051"/>
    <m/>
    <m/>
    <m/>
    <m/>
    <s v="FC000147"/>
    <s v="1"/>
    <s v="CU"/>
    <m/>
    <n v="9"/>
    <s v=""/>
    <s v="59000"/>
    <s v="Nord"/>
    <x v="2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216497820945"/>
    <s v="2"/>
    <s v="MU"/>
    <s v=""/>
    <n v="9"/>
    <s v="SERVC"/>
    <s v="GRD-F051"/>
    <m/>
    <m/>
    <m/>
    <m/>
    <s v="FC000142"/>
    <s v="2"/>
    <s v="MU"/>
    <m/>
    <n v="9"/>
    <s v=""/>
    <s v="59970"/>
    <s v="Nord"/>
    <x v="2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779739484200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x v="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258031762342"/>
    <s v="1"/>
    <s v="CU"/>
    <s v=""/>
    <n v="12"/>
    <s v="SERVC"/>
    <s v="GRD-F051"/>
    <m/>
    <m/>
    <m/>
    <m/>
    <s v="FC000147"/>
    <s v="1"/>
    <s v="CU"/>
    <m/>
    <n v="12"/>
    <s v=""/>
    <s v="59230"/>
    <s v="Nord"/>
    <x v="2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2183502155970"/>
    <s v="1"/>
    <s v="CU"/>
    <s v=""/>
    <n v="9"/>
    <s v="SERVC"/>
    <s v="PROTOC-501"/>
    <m/>
    <m/>
    <m/>
    <m/>
    <s v="FC000010"/>
    <s v="1"/>
    <s v="CU"/>
    <m/>
    <n v="9"/>
    <s v=""/>
    <s v="71450"/>
    <s v="Saône-et-Loire"/>
    <x v="18"/>
    <s v="GINKO"/>
    <s v="LINKY"/>
    <n v="2"/>
    <b v="1"/>
    <b v="1"/>
    <b v="0"/>
    <b v="0"/>
    <b v="0"/>
    <b v="0"/>
    <s v="F130B"/>
    <x v="0"/>
    <n v="0.01"/>
    <n v="0.01"/>
    <m/>
    <m/>
  </r>
  <r>
    <s v="12220984029366"/>
    <s v="1"/>
    <s v="CU"/>
    <s v=""/>
    <n v="6"/>
    <s v="SERVC"/>
    <s v="GRD-F051"/>
    <m/>
    <m/>
    <m/>
    <m/>
    <s v="FC000147"/>
    <s v="1"/>
    <s v="CU"/>
    <m/>
    <n v="6"/>
    <s v=""/>
    <s v="21000"/>
    <s v="Côte d'Or"/>
    <x v="1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14616307966"/>
    <s v="2"/>
    <s v="CU"/>
    <s v=""/>
    <n v="12"/>
    <s v="SERVC"/>
    <s v="GRD-F006"/>
    <m/>
    <m/>
    <m/>
    <m/>
    <s v="FC000040"/>
    <s v="2"/>
    <s v="MU"/>
    <m/>
    <n v="12"/>
    <s v=""/>
    <s v="44860"/>
    <s v="Loire-Atlantique"/>
    <x v="0"/>
    <s v="GINKO"/>
    <s v="LINKY"/>
    <n v="2"/>
    <b v="1"/>
    <b v="1"/>
    <b v="0"/>
    <b v="1"/>
    <b v="0"/>
    <b v="0"/>
    <s v="F130B"/>
    <x v="0"/>
    <n v="0.01"/>
    <n v="0.01"/>
    <m/>
    <m/>
  </r>
  <r>
    <s v="14234732230706"/>
    <s v="1"/>
    <s v="CU"/>
    <s v=""/>
    <n v="6"/>
    <s v="SERVC"/>
    <s v="GRD-F051"/>
    <m/>
    <m/>
    <m/>
    <m/>
    <s v="FC000147"/>
    <s v="1"/>
    <s v="CU"/>
    <m/>
    <n v="6"/>
    <s v=""/>
    <s v="4462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1267438471755"/>
    <s v="2"/>
    <s v="CU"/>
    <s v=""/>
    <n v="15"/>
    <s v="SERVC"/>
    <s v="GRD-F027"/>
    <m/>
    <m/>
    <m/>
    <m/>
    <s v="FC000044"/>
    <s v="2"/>
    <s v="CU"/>
    <m/>
    <n v="15"/>
    <s v=""/>
    <s v="78980"/>
    <s v="Yvelines"/>
    <x v="4"/>
    <s v="GINKO"/>
    <s v="LINKY"/>
    <n v="2"/>
    <b v="1"/>
    <b v="1"/>
    <b v="0"/>
    <b v="0"/>
    <b v="0"/>
    <b v="0"/>
    <s v="F130B"/>
    <x v="0"/>
    <n v="0.01"/>
    <n v="0.01"/>
    <m/>
    <m/>
  </r>
  <r>
    <s v="22203328447220"/>
    <s v="2"/>
    <s v="CU"/>
    <s v=""/>
    <n v="15"/>
    <s v="SERVC"/>
    <s v="GRD-F051"/>
    <m/>
    <m/>
    <m/>
    <m/>
    <s v="FC000142"/>
    <s v="2"/>
    <s v="CU"/>
    <m/>
    <n v="15"/>
    <s v=""/>
    <s v="91140"/>
    <s v="Esson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2483502142714"/>
    <s v="1"/>
    <s v="CU"/>
    <s v=""/>
    <n v="9"/>
    <s v="SERVC"/>
    <s v="GRD-F051"/>
    <m/>
    <m/>
    <m/>
    <m/>
    <s v="FC000147"/>
    <s v="1"/>
    <s v="CU"/>
    <m/>
    <n v="9"/>
    <s v=""/>
    <s v="93160"/>
    <s v="Seine-St-Den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3187554184220"/>
    <s v="1"/>
    <s v="CU"/>
    <s v=""/>
    <n v="9"/>
    <s v="SERVC"/>
    <s v="GRD-F051"/>
    <m/>
    <m/>
    <m/>
    <m/>
    <s v="FC000147"/>
    <s v="1"/>
    <s v="CU"/>
    <m/>
    <n v="9"/>
    <s v=""/>
    <s v="31300"/>
    <s v="Haute-Garonne"/>
    <x v="6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3237915960863"/>
    <s v="1"/>
    <s v="CU"/>
    <s v=""/>
    <n v="6"/>
    <s v="SERVC"/>
    <s v="GRD-F051"/>
    <m/>
    <m/>
    <m/>
    <m/>
    <s v="FC000147"/>
    <s v="1"/>
    <s v="MU4"/>
    <m/>
    <n v="6"/>
    <s v=""/>
    <s v="81150"/>
    <s v="Tarn"/>
    <x v="6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23268306795686"/>
    <s v="2"/>
    <s v="CU"/>
    <s v=""/>
    <n v="18"/>
    <s v="SERVC"/>
    <s v="GRD-F051"/>
    <m/>
    <m/>
    <m/>
    <m/>
    <s v="FC000142"/>
    <s v="2"/>
    <s v="CU"/>
    <m/>
    <n v="18"/>
    <s v=""/>
    <s v="81100"/>
    <s v="Tarn"/>
    <x v="6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390882606201"/>
    <s v="1"/>
    <s v="CU"/>
    <s v=""/>
    <n v="6"/>
    <s v="SERVC"/>
    <s v="GRD-F051"/>
    <m/>
    <m/>
    <m/>
    <m/>
    <s v="FC000147"/>
    <s v="1"/>
    <s v="CU"/>
    <m/>
    <n v="6"/>
    <s v=""/>
    <s v="34070"/>
    <s v="Hérault"/>
    <x v="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2110853805435"/>
    <s v="2"/>
    <s v="CU"/>
    <s v=""/>
    <n v="6"/>
    <s v="SERVC"/>
    <s v="GRD-F027"/>
    <m/>
    <m/>
    <m/>
    <m/>
    <s v="FC000044"/>
    <s v="2"/>
    <s v="CU"/>
    <m/>
    <n v="6"/>
    <s v=""/>
    <s v="71200"/>
    <s v="Saône-et-Loire"/>
    <x v="18"/>
    <s v="GINKO"/>
    <s v="LINKY"/>
    <n v="2"/>
    <b v="1"/>
    <b v="1"/>
    <b v="0"/>
    <b v="0"/>
    <b v="0"/>
    <b v="0"/>
    <s v="F130B"/>
    <x v="0"/>
    <n v="0.01"/>
    <n v="0.01"/>
    <m/>
    <m/>
  </r>
  <r>
    <s v="14206656951307"/>
    <s v="2"/>
    <s v="MU"/>
    <s v=""/>
    <n v="15"/>
    <s v="SERVC"/>
    <s v="GRD-F051"/>
    <m/>
    <m/>
    <m/>
    <m/>
    <s v="FC000142"/>
    <s v="2"/>
    <s v="MU"/>
    <m/>
    <n v="15"/>
    <s v=""/>
    <s v="4480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95802994699"/>
    <s v="1"/>
    <s v="CU"/>
    <s v=""/>
    <n v="6"/>
    <s v="SERVC"/>
    <s v="GRD-F006"/>
    <m/>
    <m/>
    <m/>
    <m/>
    <s v="FC000018"/>
    <s v="1"/>
    <s v="CU"/>
    <m/>
    <n v="6"/>
    <s v=""/>
    <s v="44340"/>
    <s v="Loire-Atlantique"/>
    <x v="0"/>
    <s v="GINKO"/>
    <s v="LINKY"/>
    <n v="2"/>
    <b v="1"/>
    <b v="1"/>
    <b v="0"/>
    <b v="0"/>
    <b v="0"/>
    <b v="0"/>
    <s v="F130B"/>
    <x v="0"/>
    <n v="0.01"/>
    <n v="0.01"/>
    <m/>
    <m/>
  </r>
  <r>
    <s v="14356584595606"/>
    <s v="1"/>
    <s v="CU"/>
    <s v=""/>
    <n v="6"/>
    <s v="SERVC"/>
    <s v="GRD-F027"/>
    <m/>
    <m/>
    <m/>
    <m/>
    <s v="FC000022"/>
    <s v="1"/>
    <s v="CU"/>
    <m/>
    <n v="6"/>
    <s v=""/>
    <s v="85600"/>
    <s v="Vendée"/>
    <x v="0"/>
    <s v="GINKO"/>
    <s v="LINKY"/>
    <n v="2"/>
    <b v="1"/>
    <b v="1"/>
    <b v="0"/>
    <b v="0"/>
    <b v="0"/>
    <b v="0"/>
    <s v="F130B"/>
    <x v="0"/>
    <n v="0.01"/>
    <n v="0.01"/>
    <m/>
    <m/>
  </r>
  <r>
    <s v="14453690288654"/>
    <s v="1"/>
    <s v="CU"/>
    <s v=""/>
    <n v="6"/>
    <s v="SERVC"/>
    <s v="PROTOC-501"/>
    <m/>
    <m/>
    <m/>
    <m/>
    <s v="FC000010"/>
    <s v="1"/>
    <s v="MU4"/>
    <m/>
    <n v="6"/>
    <s v=""/>
    <s v="35160"/>
    <s v="Ille-et-Vilaine"/>
    <x v="3"/>
    <s v="GINKO"/>
    <s v="LINKY"/>
    <n v="2"/>
    <b v="1"/>
    <b v="1"/>
    <b v="0"/>
    <b v="1"/>
    <b v="0"/>
    <b v="0"/>
    <s v="F130B"/>
    <x v="0"/>
    <n v="0.01"/>
    <n v="0.01"/>
    <m/>
    <m/>
  </r>
  <r>
    <s v="14485672926030"/>
    <s v="2"/>
    <s v="MU"/>
    <s v=""/>
    <n v="6"/>
    <s v="SERVC"/>
    <s v="PROTOC-501"/>
    <m/>
    <m/>
    <m/>
    <m/>
    <s v="FC000032"/>
    <s v="2"/>
    <s v="MU"/>
    <m/>
    <n v="6"/>
    <s v=""/>
    <s v="35720"/>
    <s v="Ille-et-Vilaine"/>
    <x v="3"/>
    <s v="GINKO"/>
    <s v="LINKY"/>
    <n v="2"/>
    <b v="1"/>
    <b v="1"/>
    <b v="0"/>
    <b v="0"/>
    <b v="0"/>
    <b v="0"/>
    <s v="F130B"/>
    <x v="0"/>
    <n v="0.01"/>
    <n v="0.01"/>
    <m/>
    <m/>
  </r>
  <r>
    <s v="15431259006722"/>
    <s v="2"/>
    <s v="MU"/>
    <s v=""/>
    <n v="9"/>
    <s v="SERVC"/>
    <s v="GRD-F051"/>
    <m/>
    <m/>
    <m/>
    <m/>
    <s v="FC000142"/>
    <s v="2"/>
    <s v="MU"/>
    <m/>
    <n v="9"/>
    <s v=""/>
    <s v="79000"/>
    <s v="Deux-Sèvres"/>
    <x v="13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6128798659892"/>
    <s v="2"/>
    <s v="CU"/>
    <s v=""/>
    <n v="9"/>
    <s v="SERVC"/>
    <s v="GRD-F052"/>
    <m/>
    <m/>
    <m/>
    <m/>
    <s v="FC000145"/>
    <s v="2"/>
    <s v="CU"/>
    <m/>
    <n v="9"/>
    <s v=""/>
    <s v="33450"/>
    <s v="Gironde"/>
    <x v="19"/>
    <s v="GINKO"/>
    <s v="LINKY"/>
    <n v="2"/>
    <b v="1"/>
    <b v="1"/>
    <b v="0"/>
    <b v="0"/>
    <b v="0"/>
    <b v="0"/>
    <s v="F130B"/>
    <x v="0"/>
    <n v="0.01"/>
    <n v="0.01"/>
    <m/>
    <m/>
  </r>
  <r>
    <s v="17145151895189"/>
    <s v="1"/>
    <s v="CU"/>
    <s v=""/>
    <n v="6"/>
    <s v="SERVC"/>
    <s v="GRD-F001"/>
    <m/>
    <m/>
    <m/>
    <m/>
    <s v="FC000063"/>
    <s v="1"/>
    <s v="CU"/>
    <m/>
    <n v="6"/>
    <s v=""/>
    <s v="63670"/>
    <s v="Puy-de-Dôme"/>
    <x v="14"/>
    <s v="GINKO"/>
    <s v="LINKY"/>
    <n v="2"/>
    <b v="1"/>
    <b v="1"/>
    <b v="0"/>
    <b v="0"/>
    <b v="0"/>
    <b v="0"/>
    <s v="F130B"/>
    <x v="0"/>
    <n v="0.01"/>
    <n v="0.01"/>
    <m/>
    <m/>
  </r>
  <r>
    <s v="17394355985724"/>
    <s v="1"/>
    <s v="CU"/>
    <s v=""/>
    <n v="6"/>
    <s v="SERVC"/>
    <s v="GRD-F051"/>
    <m/>
    <m/>
    <m/>
    <m/>
    <s v="FC000147"/>
    <s v="1"/>
    <s v="CU"/>
    <m/>
    <n v="6"/>
    <s v=""/>
    <s v="03200"/>
    <s v="Allier"/>
    <x v="1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2141533935685"/>
    <s v="1"/>
    <s v="CU"/>
    <s v=""/>
    <n v="6"/>
    <s v="SERVC"/>
    <s v="PROTOC-501"/>
    <m/>
    <m/>
    <m/>
    <m/>
    <s v="FC000010"/>
    <s v="1"/>
    <s v="CU"/>
    <m/>
    <n v="6"/>
    <s v=""/>
    <s v="76650"/>
    <s v="Seine-Maritime"/>
    <x v="16"/>
    <s v="GINKO"/>
    <s v="LINKY"/>
    <n v="2"/>
    <b v="1"/>
    <b v="1"/>
    <b v="0"/>
    <b v="0"/>
    <b v="0"/>
    <b v="0"/>
    <s v="F130B"/>
    <x v="0"/>
    <n v="0.01"/>
    <n v="0.01"/>
    <m/>
    <m/>
  </r>
  <r>
    <s v="19835745252240"/>
    <s v="1"/>
    <s v="CU"/>
    <s v=""/>
    <n v="9"/>
    <s v="SERVC"/>
    <s v="GRD-F051"/>
    <m/>
    <m/>
    <m/>
    <m/>
    <s v="FC000147"/>
    <s v="1"/>
    <s v="MU4"/>
    <m/>
    <n v="9"/>
    <s v=""/>
    <s v="42300"/>
    <s v="Loire"/>
    <x v="15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21146599040177"/>
    <s v="1"/>
    <s v="CU"/>
    <s v=""/>
    <n v="6"/>
    <s v="SERVC"/>
    <s v="PROTOC-501"/>
    <m/>
    <m/>
    <m/>
    <m/>
    <s v="FC000010"/>
    <s v="1"/>
    <s v="CU"/>
    <m/>
    <n v="6"/>
    <s v=""/>
    <s v="78610"/>
    <s v="Yvelines"/>
    <x v="4"/>
    <s v="GINKO"/>
    <s v="LINKY"/>
    <n v="2"/>
    <b v="1"/>
    <b v="1"/>
    <b v="0"/>
    <b v="0"/>
    <b v="0"/>
    <b v="0"/>
    <s v="F130B"/>
    <x v="0"/>
    <n v="0.01"/>
    <n v="0.01"/>
    <m/>
    <m/>
  </r>
  <r>
    <s v="02156005767382"/>
    <s v="1"/>
    <s v="CU"/>
    <s v=""/>
    <n v="6"/>
    <s v="SERVC"/>
    <s v="GRD-F051"/>
    <m/>
    <m/>
    <m/>
    <m/>
    <s v="FC000147"/>
    <s v="1"/>
    <s v="CU"/>
    <m/>
    <n v="6"/>
    <s v=""/>
    <s v="76520"/>
    <s v="Seine-Maritime"/>
    <x v="16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787409527772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x v="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890882723968"/>
    <s v="2"/>
    <s v="MU"/>
    <s v=""/>
    <n v="6"/>
    <s v="SERVC"/>
    <s v="PROTOC-501"/>
    <m/>
    <m/>
    <m/>
    <m/>
    <s v="FC000032"/>
    <s v="2"/>
    <s v="MU"/>
    <m/>
    <n v="6"/>
    <s v=""/>
    <s v="56100"/>
    <s v="Morbihan"/>
    <x v="3"/>
    <s v="GINKO"/>
    <s v="LINKY"/>
    <n v="2"/>
    <b v="1"/>
    <b v="1"/>
    <b v="0"/>
    <b v="0"/>
    <b v="0"/>
    <b v="0"/>
    <s v="F130B"/>
    <x v="0"/>
    <n v="0.01"/>
    <n v="0.01"/>
    <m/>
    <m/>
  </r>
  <r>
    <s v="07347901534794"/>
    <s v="1"/>
    <s v="CU"/>
    <s v=""/>
    <n v="6"/>
    <s v="SERVC"/>
    <s v="GRD-F051"/>
    <m/>
    <m/>
    <m/>
    <m/>
    <s v="FC000147"/>
    <s v="1"/>
    <s v="CU"/>
    <m/>
    <n v="6"/>
    <s v=""/>
    <s v="75013"/>
    <s v="Par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108827769167"/>
    <s v="2"/>
    <s v="CU"/>
    <s v=""/>
    <n v="9"/>
    <s v="SERVC"/>
    <s v="PROTOC-501"/>
    <m/>
    <m/>
    <m/>
    <m/>
    <s v="FC000032"/>
    <s v="2"/>
    <s v="MU"/>
    <m/>
    <n v="9"/>
    <s v=""/>
    <s v="72200"/>
    <s v="Sarthe"/>
    <x v="0"/>
    <s v="GINKO"/>
    <s v="LINKY"/>
    <n v="2"/>
    <b v="1"/>
    <b v="1"/>
    <b v="0"/>
    <b v="1"/>
    <b v="0"/>
    <b v="0"/>
    <s v="F130B"/>
    <x v="0"/>
    <n v="0.01"/>
    <n v="0.01"/>
    <m/>
    <m/>
  </r>
  <r>
    <s v="09315918941515"/>
    <s v="1"/>
    <s v="CU"/>
    <s v=""/>
    <n v="6"/>
    <s v="SERVC"/>
    <s v="GRD-F051"/>
    <m/>
    <m/>
    <m/>
    <m/>
    <s v="FC000147"/>
    <s v="1"/>
    <s v="CU"/>
    <m/>
    <n v="6"/>
    <s v=""/>
    <s v="49300"/>
    <s v="Maine-et-Loir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717944991689"/>
    <s v="1"/>
    <s v="CU"/>
    <s v=""/>
    <n v="6"/>
    <s v="SERVC"/>
    <s v="GRD-F001"/>
    <m/>
    <m/>
    <m/>
    <m/>
    <s v="FC000063"/>
    <s v="1"/>
    <s v="MU"/>
    <m/>
    <n v="6"/>
    <s v=""/>
    <s v="37000"/>
    <s v="Indre-et-Loire"/>
    <x v="1"/>
    <s v="GINKO"/>
    <s v="LINKY"/>
    <n v="2"/>
    <b v="1"/>
    <b v="1"/>
    <b v="0"/>
    <b v="1"/>
    <b v="0"/>
    <b v="0"/>
    <s v="F130B"/>
    <x v="0"/>
    <n v="0.01"/>
    <n v="0.01"/>
    <m/>
    <m/>
  </r>
  <r>
    <s v="14269753962495"/>
    <s v="1"/>
    <s v="CU"/>
    <s v=""/>
    <n v="6"/>
    <s v="SERVC"/>
    <s v="PROTOC-501"/>
    <m/>
    <m/>
    <m/>
    <m/>
    <s v="FC000010"/>
    <s v="1"/>
    <s v="CU"/>
    <m/>
    <n v="6"/>
    <s v=""/>
    <s v="44600"/>
    <s v="Loire-Atlantique"/>
    <x v="0"/>
    <s v="GINKO"/>
    <s v="LINKY"/>
    <n v="2"/>
    <b v="1"/>
    <b v="1"/>
    <b v="0"/>
    <b v="0"/>
    <b v="0"/>
    <b v="0"/>
    <s v="F130B"/>
    <x v="0"/>
    <n v="0.01"/>
    <n v="0.01"/>
    <m/>
    <m/>
  </r>
  <r>
    <s v="14296671365453"/>
    <s v="1"/>
    <s v="CU"/>
    <s v=""/>
    <n v="6"/>
    <s v="SERVC"/>
    <s v="PROTOC-501"/>
    <m/>
    <m/>
    <m/>
    <m/>
    <s v="FC000010"/>
    <s v="1"/>
    <s v="MU4"/>
    <m/>
    <n v="6"/>
    <s v=""/>
    <s v="44230"/>
    <s v="Loire-Atlantique"/>
    <x v="0"/>
    <s v="GINKO"/>
    <s v="LINKY"/>
    <n v="2"/>
    <b v="1"/>
    <b v="1"/>
    <b v="0"/>
    <b v="1"/>
    <b v="0"/>
    <b v="0"/>
    <s v="F130B"/>
    <x v="0"/>
    <n v="0.01"/>
    <n v="0.01"/>
    <m/>
    <m/>
  </r>
  <r>
    <s v="14500868247269"/>
    <s v="2"/>
    <s v="MU"/>
    <s v=""/>
    <n v="9"/>
    <s v="SERVC"/>
    <s v="GRD-F027"/>
    <m/>
    <m/>
    <m/>
    <m/>
    <s v="FC000044"/>
    <s v="2"/>
    <s v="MU"/>
    <m/>
    <n v="9"/>
    <s v=""/>
    <s v="22440"/>
    <s v="Côtes d'Armor"/>
    <x v="3"/>
    <s v="GINKO"/>
    <s v="LINKY"/>
    <n v="2"/>
    <b v="1"/>
    <b v="1"/>
    <b v="0"/>
    <b v="0"/>
    <b v="0"/>
    <b v="0"/>
    <s v="F130B"/>
    <x v="0"/>
    <n v="0.01"/>
    <n v="0.01"/>
    <m/>
    <m/>
  </r>
  <r>
    <s v="14544138852489"/>
    <s v="2"/>
    <s v="CU"/>
    <s v=""/>
    <n v="12"/>
    <s v="SERVC"/>
    <s v="GRD-F051"/>
    <m/>
    <m/>
    <m/>
    <m/>
    <s v="FC000142"/>
    <s v="2"/>
    <s v="MU"/>
    <m/>
    <n v="12"/>
    <s v=""/>
    <s v="22130"/>
    <s v="Côtes d'Armor"/>
    <x v="3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14706656969382"/>
    <s v="2"/>
    <s v="CU"/>
    <s v=""/>
    <n v="12"/>
    <s v="SERVC"/>
    <s v="PROTOC-501"/>
    <m/>
    <m/>
    <m/>
    <m/>
    <s v="FC000032"/>
    <s v="2"/>
    <s v="MU"/>
    <m/>
    <n v="12"/>
    <s v=""/>
    <s v="29910"/>
    <s v="Finistère"/>
    <x v="3"/>
    <s v="GINKO"/>
    <s v="LINKY"/>
    <n v="2"/>
    <b v="1"/>
    <b v="1"/>
    <b v="0"/>
    <b v="1"/>
    <b v="0"/>
    <b v="0"/>
    <s v="F130B"/>
    <x v="0"/>
    <n v="0.01"/>
    <n v="0.01"/>
    <m/>
    <m/>
  </r>
  <r>
    <s v="15591751061656"/>
    <s v="1"/>
    <s v="CU"/>
    <s v=""/>
    <n v="9"/>
    <s v="SERVC"/>
    <s v="GRD-F027"/>
    <m/>
    <m/>
    <m/>
    <m/>
    <s v="FC000044"/>
    <s v="2"/>
    <s v="CU"/>
    <m/>
    <n v="9"/>
    <s v=""/>
    <s v="87280"/>
    <s v="Haute-Vienne"/>
    <x v="20"/>
    <s v="GINKO"/>
    <s v="CBE"/>
    <n v="0"/>
    <b v="0"/>
    <b v="1"/>
    <b v="1"/>
    <b v="0"/>
    <b v="0"/>
    <b v="0"/>
    <s v="F130B"/>
    <x v="2"/>
    <n v="0.01"/>
    <n v="1"/>
    <m/>
    <s v="Changement de structure tarifaire sur compteur CBE"/>
  </r>
  <r>
    <s v="16165846545015"/>
    <s v="2"/>
    <s v="MU"/>
    <s v=""/>
    <n v="6"/>
    <s v="SERVC"/>
    <s v="GRD-F051"/>
    <m/>
    <m/>
    <m/>
    <m/>
    <s v="FC000142"/>
    <s v="2"/>
    <s v="MU"/>
    <m/>
    <n v="6"/>
    <s v=""/>
    <s v="33800"/>
    <s v="Gironde"/>
    <x v="19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6478147570520"/>
    <s v="1"/>
    <s v="CU"/>
    <s v=""/>
    <n v="6"/>
    <s v="SERVC"/>
    <s v="GRD-F006"/>
    <m/>
    <m/>
    <m/>
    <m/>
    <s v="FC000018"/>
    <s v="1"/>
    <s v="CU"/>
    <m/>
    <n v="6"/>
    <s v=""/>
    <s v="40465"/>
    <s v="Landes"/>
    <x v="19"/>
    <s v="GINKO"/>
    <s v="LINKY"/>
    <n v="2"/>
    <b v="1"/>
    <b v="1"/>
    <b v="0"/>
    <b v="0"/>
    <b v="0"/>
    <b v="0"/>
    <s v="F130B"/>
    <x v="0"/>
    <n v="0.01"/>
    <n v="0.01"/>
    <m/>
    <m/>
  </r>
  <r>
    <s v="17183646787958"/>
    <s v="2"/>
    <s v="MU"/>
    <s v=""/>
    <n v="9"/>
    <s v="SERVC"/>
    <s v="GRD-F051"/>
    <m/>
    <m/>
    <m/>
    <m/>
    <s v="FC000142"/>
    <s v="2"/>
    <s v="MU"/>
    <m/>
    <n v="9"/>
    <s v=""/>
    <s v="63000"/>
    <s v="Puy-de-Dôme"/>
    <x v="1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9117221256728"/>
    <s v="2"/>
    <s v="MU"/>
    <s v=""/>
    <n v="6"/>
    <s v="SERVC"/>
    <s v="GRD-F051"/>
    <m/>
    <m/>
    <m/>
    <m/>
    <s v="FC000142"/>
    <s v="2"/>
    <s v="MU"/>
    <m/>
    <n v="6"/>
    <s v=""/>
    <s v="69006"/>
    <s v="Rhône"/>
    <x v="1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9140376265022"/>
    <s v="1"/>
    <s v="CU"/>
    <s v=""/>
    <n v="6"/>
    <s v="SERVC"/>
    <s v="PROTOC-501"/>
    <m/>
    <m/>
    <m/>
    <m/>
    <s v="FC000010"/>
    <s v="1"/>
    <s v="CU"/>
    <m/>
    <n v="6"/>
    <s v=""/>
    <s v="69006"/>
    <s v="Rhône"/>
    <x v="15"/>
    <s v="GINKO"/>
    <s v="LINKY"/>
    <n v="2"/>
    <b v="1"/>
    <b v="1"/>
    <b v="0"/>
    <b v="0"/>
    <b v="0"/>
    <b v="0"/>
    <s v="F130B"/>
    <x v="0"/>
    <n v="0.01"/>
    <n v="0.01"/>
    <m/>
    <m/>
  </r>
  <r>
    <s v="19569609169156"/>
    <s v="2"/>
    <s v="MU"/>
    <s v=""/>
    <n v="9"/>
    <s v="SERVC"/>
    <s v="GRD-F051"/>
    <m/>
    <m/>
    <m/>
    <m/>
    <s v="FC000142"/>
    <s v="2"/>
    <s v="MU"/>
    <m/>
    <n v="9"/>
    <s v=""/>
    <s v="74100"/>
    <s v="Haute-Savoie"/>
    <x v="1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9986975337177"/>
    <s v="1"/>
    <s v="CU"/>
    <s v=""/>
    <n v="6"/>
    <s v="SERVC"/>
    <s v="GRD-F006"/>
    <m/>
    <m/>
    <m/>
    <m/>
    <s v="FC000018"/>
    <s v="1"/>
    <s v="CU"/>
    <m/>
    <n v="6"/>
    <s v=""/>
    <s v="01000"/>
    <s v="Ain"/>
    <x v="15"/>
    <s v="GINKO"/>
    <s v="LINKY"/>
    <n v="1"/>
    <b v="1"/>
    <b v="1"/>
    <b v="0"/>
    <b v="0"/>
    <b v="0"/>
    <b v="0"/>
    <s v="F130B"/>
    <x v="0"/>
    <n v="0.01"/>
    <n v="0.01"/>
    <m/>
    <m/>
  </r>
  <r>
    <s v="07321852338565"/>
    <s v="2"/>
    <s v="MU"/>
    <s v=""/>
    <n v="6"/>
    <s v="SERVC"/>
    <s v="GRD-F051"/>
    <m/>
    <m/>
    <m/>
    <m/>
    <s v="FC000142"/>
    <s v="2"/>
    <s v="MU"/>
    <m/>
    <n v="6"/>
    <s v=""/>
    <s v="75013"/>
    <s v="Par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53256065017"/>
    <s v="1"/>
    <s v="CU"/>
    <s v=""/>
    <n v="6"/>
    <s v="SERVC"/>
    <s v="GRD-F051"/>
    <m/>
    <m/>
    <m/>
    <m/>
    <s v="FC000147"/>
    <s v="1"/>
    <s v="CU"/>
    <m/>
    <n v="6"/>
    <s v=""/>
    <s v="4430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910564392213"/>
    <s v="2"/>
    <s v="MU"/>
    <s v=""/>
    <n v="12"/>
    <s v="SERVC"/>
    <s v="GRD-F051"/>
    <m/>
    <m/>
    <m/>
    <m/>
    <s v="FC000142"/>
    <s v="2"/>
    <s v="MU"/>
    <m/>
    <n v="12"/>
    <s v=""/>
    <s v="06410"/>
    <s v="Alpes-Maritimes"/>
    <x v="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610853828480"/>
    <s v="2"/>
    <s v="MU"/>
    <s v=""/>
    <n v="12"/>
    <s v="SERVC"/>
    <s v="GRD-F051"/>
    <m/>
    <m/>
    <m/>
    <m/>
    <s v="FC000142"/>
    <s v="2"/>
    <s v="MU"/>
    <m/>
    <n v="12"/>
    <s v=""/>
    <s v="80540"/>
    <s v="Somme"/>
    <x v="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58610519920"/>
    <s v="2"/>
    <s v="CU"/>
    <s v=""/>
    <n v="9"/>
    <s v="SERVC"/>
    <s v="GRD-F058"/>
    <m/>
    <m/>
    <m/>
    <m/>
    <s v="FC000166"/>
    <s v="2"/>
    <s v="MU"/>
    <m/>
    <n v="9"/>
    <s v=""/>
    <s v="44470"/>
    <s v="Loire-Atlantique"/>
    <x v="0"/>
    <s v="GINKO"/>
    <s v="LINKY"/>
    <n v="2"/>
    <b v="1"/>
    <b v="1"/>
    <b v="0"/>
    <b v="1"/>
    <b v="0"/>
    <b v="0"/>
    <s v="F130B"/>
    <x v="0"/>
    <n v="0.01"/>
    <n v="0.01"/>
    <m/>
    <m/>
  </r>
  <r>
    <s v="21419970950094"/>
    <s v="1"/>
    <s v="CU"/>
    <s v=""/>
    <n v="6"/>
    <s v="SERVC"/>
    <s v="GRD-F051"/>
    <m/>
    <m/>
    <m/>
    <m/>
    <s v="FC000147"/>
    <s v="1"/>
    <s v="CU"/>
    <m/>
    <n v="6"/>
    <s v=""/>
    <s v="95240"/>
    <s v="Val-d'Ois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26">
  <r>
    <s v="09164544121954"/>
    <s v="1"/>
    <s v="CU"/>
    <s v=""/>
    <n v="12"/>
    <s v="SERVC"/>
    <s v="GRD-F006"/>
    <m/>
    <m/>
    <m/>
    <m/>
    <s v="FC000018"/>
    <s v="1"/>
    <s v="CU"/>
    <m/>
    <n v="12"/>
    <s v=""/>
    <s v="72160"/>
    <s v="Sarth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09780028911863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s v="Cent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797539789041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s v="Cent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388422484103"/>
    <s v="1"/>
    <s v="CU"/>
    <s v=""/>
    <n v="6"/>
    <s v="SERVC"/>
    <s v="GRD-F051"/>
    <m/>
    <m/>
    <m/>
    <m/>
    <s v="FC000147"/>
    <s v="1"/>
    <s v="CU"/>
    <m/>
    <n v="6"/>
    <s v=""/>
    <s v="59165"/>
    <s v="Nord"/>
    <s v="Nord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521418216821"/>
    <s v="2"/>
    <s v="CU"/>
    <s v=""/>
    <n v="12"/>
    <s v="SERVC"/>
    <s v="GRD-F051"/>
    <m/>
    <m/>
    <m/>
    <m/>
    <s v="FC000142"/>
    <s v="2"/>
    <s v="CU"/>
    <m/>
    <n v="12"/>
    <s v=""/>
    <s v="22190"/>
    <s v="Côtes d'Armor"/>
    <s v="Breta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635600576120"/>
    <s v="1"/>
    <s v="CU"/>
    <s v=""/>
    <n v="6"/>
    <s v="SERVC"/>
    <s v="PROTOC-501"/>
    <m/>
    <m/>
    <m/>
    <m/>
    <s v="FC000010"/>
    <s v="1"/>
    <s v="CU"/>
    <m/>
    <n v="6"/>
    <s v=""/>
    <s v="29200"/>
    <s v="Finistère"/>
    <s v="Bretagne"/>
    <x v="0"/>
    <s v="LINKY"/>
    <n v="2"/>
    <b v="1"/>
    <b v="1"/>
    <b v="0"/>
    <b v="0"/>
    <b v="0"/>
    <b v="0"/>
    <x v="0"/>
    <x v="0"/>
    <n v="0.01"/>
    <n v="0.01"/>
    <m/>
    <m/>
  </r>
  <r>
    <s v="21327062106150"/>
    <s v="2"/>
    <s v="MU"/>
    <s v=""/>
    <n v="9"/>
    <s v="SERVC"/>
    <s v="GRD-F051"/>
    <m/>
    <m/>
    <m/>
    <m/>
    <s v="FC000142"/>
    <s v="2"/>
    <s v="MU"/>
    <m/>
    <n v="9"/>
    <s v=""/>
    <s v="92130"/>
    <s v="Hauts-de-Sei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s v="Picardie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22160202552029"/>
    <s v="2"/>
    <s v="MU"/>
    <s v=""/>
    <n v="18"/>
    <s v="SERVC"/>
    <s v="GRD-F027"/>
    <m/>
    <m/>
    <m/>
    <m/>
    <s v="FC000044"/>
    <s v="2"/>
    <s v="CU"/>
    <m/>
    <n v="18"/>
    <s v=""/>
    <s v="77510"/>
    <s v="Seine-et-Marne"/>
    <s v="Ile-de-France"/>
    <x v="0"/>
    <s v="LINKY"/>
    <n v="2"/>
    <b v="1"/>
    <b v="1"/>
    <b v="0"/>
    <b v="1"/>
    <b v="0"/>
    <b v="0"/>
    <x v="0"/>
    <x v="0"/>
    <n v="0.01"/>
    <n v="0.01"/>
    <m/>
    <m/>
  </r>
  <r>
    <s v="22290159137484"/>
    <s v="1"/>
    <s v="CU"/>
    <s v=""/>
    <n v="9"/>
    <s v="SERVC"/>
    <s v="GRD-F006"/>
    <m/>
    <m/>
    <m/>
    <m/>
    <s v="FC000018"/>
    <s v="1"/>
    <s v="CU"/>
    <m/>
    <n v="9"/>
    <s v=""/>
    <s v="91120"/>
    <s v="Essonne"/>
    <s v="Ile-de-France"/>
    <x v="0"/>
    <s v="LINKY"/>
    <n v="2"/>
    <b v="1"/>
    <b v="1"/>
    <b v="0"/>
    <b v="0"/>
    <b v="0"/>
    <b v="0"/>
    <x v="0"/>
    <x v="0"/>
    <n v="0.01"/>
    <n v="0.01"/>
    <m/>
    <m/>
  </r>
  <r>
    <s v="22575976781746"/>
    <s v="2"/>
    <s v="MU"/>
    <s v=""/>
    <n v="6"/>
    <s v="SERVC"/>
    <s v="GRD-F051"/>
    <m/>
    <m/>
    <m/>
    <m/>
    <s v="FC000142"/>
    <s v="2"/>
    <s v="MU"/>
    <m/>
    <n v="6"/>
    <s v=""/>
    <s v="93600"/>
    <s v="Seine-St-Den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3538060764251"/>
    <s v="1"/>
    <s v="CU"/>
    <s v=""/>
    <n v="6"/>
    <s v="SERVC"/>
    <s v="PROTOC-501"/>
    <m/>
    <m/>
    <m/>
    <m/>
    <s v="FC000010"/>
    <s v="1"/>
    <s v="CU"/>
    <m/>
    <n v="6"/>
    <s v=""/>
    <s v="12000"/>
    <s v="Aveyron"/>
    <s v="Midi-Pyrénées"/>
    <x v="0"/>
    <s v="LINKY"/>
    <n v="2"/>
    <b v="1"/>
    <b v="1"/>
    <b v="0"/>
    <b v="0"/>
    <b v="0"/>
    <b v="0"/>
    <x v="0"/>
    <x v="0"/>
    <n v="0.01"/>
    <n v="0.01"/>
    <m/>
    <m/>
  </r>
  <r>
    <s v="24341099817969"/>
    <s v="1"/>
    <s v="CU"/>
    <s v=""/>
    <n v="6"/>
    <s v="SERVC"/>
    <s v="GRD-F051"/>
    <m/>
    <m/>
    <m/>
    <m/>
    <s v="FC000147"/>
    <s v="1"/>
    <s v="CU"/>
    <m/>
    <n v="6"/>
    <s v=""/>
    <s v="34430"/>
    <s v="Hérault"/>
    <s v="Languedoc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570188123872"/>
    <s v="1"/>
    <s v="CU"/>
    <s v=""/>
    <n v="6"/>
    <s v="SERVC"/>
    <s v="GRD-F001"/>
    <m/>
    <m/>
    <m/>
    <m/>
    <s v="FC000063"/>
    <s v="1"/>
    <s v="CU"/>
    <m/>
    <n v="6"/>
    <s v=""/>
    <s v="30000"/>
    <s v="Gard"/>
    <s v="Languedoc"/>
    <x v="0"/>
    <s v="LINKY"/>
    <n v="2"/>
    <b v="1"/>
    <b v="1"/>
    <b v="0"/>
    <b v="0"/>
    <b v="0"/>
    <b v="0"/>
    <x v="0"/>
    <x v="0"/>
    <n v="0.01"/>
    <n v="0.01"/>
    <m/>
    <m/>
  </r>
  <r>
    <s v="01328943557999"/>
    <s v="1"/>
    <s v="CU"/>
    <s v=""/>
    <n v="6"/>
    <s v="SERVC"/>
    <s v="GRD-F044"/>
    <m/>
    <m/>
    <m/>
    <m/>
    <s v="FC000123"/>
    <s v="1"/>
    <s v="CU"/>
    <m/>
    <n v="6"/>
    <s v=""/>
    <s v="62210"/>
    <s v="Pas-de-Calais"/>
    <s v="Nord"/>
    <x v="0"/>
    <s v="LINKY"/>
    <n v="2"/>
    <b v="1"/>
    <b v="1"/>
    <b v="0"/>
    <b v="0"/>
    <b v="0"/>
    <b v="0"/>
    <x v="0"/>
    <x v="0"/>
    <n v="0.01"/>
    <n v="0.01"/>
    <m/>
    <m/>
  </r>
  <r>
    <s v="14229377680778"/>
    <s v="1"/>
    <s v="CU"/>
    <s v=""/>
    <n v="9"/>
    <s v="SERVC"/>
    <s v="GRD-F051"/>
    <m/>
    <m/>
    <m/>
    <m/>
    <s v="FC000147"/>
    <s v="1"/>
    <s v="CU"/>
    <m/>
    <n v="9"/>
    <s v=""/>
    <s v="4480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54703220809"/>
    <s v="1"/>
    <s v="CU"/>
    <s v=""/>
    <n v="6"/>
    <s v="SERVC"/>
    <s v="GRD-F051"/>
    <m/>
    <m/>
    <m/>
    <m/>
    <s v="FC000147"/>
    <s v="1"/>
    <s v="CU"/>
    <m/>
    <n v="6"/>
    <s v=""/>
    <s v="4470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82199669190"/>
    <s v="2"/>
    <s v="MU"/>
    <s v=""/>
    <n v="12"/>
    <s v="SERVC"/>
    <s v="GRD-F051"/>
    <m/>
    <m/>
    <m/>
    <m/>
    <s v="FC000142"/>
    <s v="2"/>
    <s v="MU"/>
    <m/>
    <n v="12"/>
    <s v=""/>
    <s v="4462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1241099744510"/>
    <s v="1"/>
    <s v="CU"/>
    <s v=""/>
    <n v="6"/>
    <s v="SERVC"/>
    <s v="GRD-F006"/>
    <m/>
    <m/>
    <m/>
    <m/>
    <s v="FC000018"/>
    <s v="1"/>
    <s v="CU"/>
    <m/>
    <n v="6"/>
    <s v=""/>
    <s v="78710"/>
    <s v="Yvelines"/>
    <s v="Ile-de-France"/>
    <x v="0"/>
    <s v="LINKY"/>
    <n v="2"/>
    <b v="1"/>
    <b v="1"/>
    <b v="0"/>
    <b v="0"/>
    <b v="0"/>
    <b v="0"/>
    <x v="0"/>
    <x v="0"/>
    <n v="0.01"/>
    <n v="0.01"/>
    <m/>
    <m/>
  </r>
  <r>
    <s v="21357742276207"/>
    <s v="1"/>
    <s v="CU"/>
    <s v=""/>
    <n v="9"/>
    <s v="SERVC"/>
    <s v="GRD-F006"/>
    <m/>
    <m/>
    <m/>
    <m/>
    <s v="FC000018"/>
    <s v="1"/>
    <s v="CU"/>
    <m/>
    <n v="9"/>
    <s v=""/>
    <s v="92370"/>
    <s v="Hauts-de-Seine"/>
    <s v="Ile-de-France"/>
    <x v="0"/>
    <s v="LINKY"/>
    <n v="2"/>
    <b v="1"/>
    <b v="1"/>
    <b v="0"/>
    <b v="0"/>
    <b v="0"/>
    <b v="0"/>
    <x v="0"/>
    <x v="0"/>
    <n v="0.01"/>
    <n v="0.01"/>
    <m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s v="Picardie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22141244538777"/>
    <s v="2"/>
    <s v="MU"/>
    <s v=""/>
    <n v="12"/>
    <s v="SERVC"/>
    <s v="GRD-F051"/>
    <m/>
    <m/>
    <m/>
    <m/>
    <s v="FC000142"/>
    <s v="2"/>
    <s v="MU"/>
    <m/>
    <n v="12"/>
    <s v=""/>
    <s v="77170"/>
    <s v="Seine-et-Mar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2272503584475"/>
    <s v="1"/>
    <s v="CU"/>
    <s v=""/>
    <n v="6"/>
    <s v="SERVC"/>
    <s v="GRD-F006"/>
    <m/>
    <m/>
    <m/>
    <m/>
    <s v="FC000018"/>
    <s v="1"/>
    <s v="CU"/>
    <m/>
    <n v="6"/>
    <s v=""/>
    <s v="91280"/>
    <s v="Essonne"/>
    <s v="Ile-de-France"/>
    <x v="0"/>
    <s v="LINKY"/>
    <n v="2"/>
    <b v="1"/>
    <b v="1"/>
    <b v="0"/>
    <b v="0"/>
    <b v="0"/>
    <b v="0"/>
    <x v="0"/>
    <x v="0"/>
    <n v="0.01"/>
    <n v="0.01"/>
    <m/>
    <m/>
  </r>
  <r>
    <s v="22296526753898"/>
    <s v="2"/>
    <s v="CU"/>
    <s v=""/>
    <n v="9"/>
    <s v="SERVC"/>
    <s v="GRD-F051"/>
    <m/>
    <m/>
    <m/>
    <m/>
    <s v="FC000142"/>
    <s v="2"/>
    <s v="CU"/>
    <m/>
    <n v="9"/>
    <s v=""/>
    <s v="91140"/>
    <s v="Esson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2297105602548"/>
    <s v="2"/>
    <s v="MU"/>
    <s v=""/>
    <n v="15"/>
    <s v="SERVC"/>
    <s v="GRD-F051"/>
    <m/>
    <m/>
    <m/>
    <m/>
    <s v="FC000142"/>
    <s v="2"/>
    <s v="MU"/>
    <m/>
    <n v="15"/>
    <s v=""/>
    <s v="91450"/>
    <s v="Esson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4115629490508"/>
    <s v="1"/>
    <s v="CU"/>
    <s v=""/>
    <n v="6"/>
    <s v="SERVC"/>
    <s v="GRD-F051"/>
    <m/>
    <m/>
    <m/>
    <m/>
    <s v="FC000147"/>
    <s v="1"/>
    <s v="CU"/>
    <m/>
    <n v="6"/>
    <s v=""/>
    <s v="02200"/>
    <s v="Aisne"/>
    <s v="Picar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367438429128"/>
    <s v="2"/>
    <s v="MU"/>
    <s v=""/>
    <n v="6"/>
    <s v="SERVC"/>
    <s v="GRD-F051"/>
    <m/>
    <m/>
    <m/>
    <m/>
    <s v="FC000142"/>
    <s v="2"/>
    <s v="MU"/>
    <m/>
    <n v="6"/>
    <s v=""/>
    <s v="34000"/>
    <s v="Hérault"/>
    <s v="Languedoc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111432587884"/>
    <s v="1"/>
    <s v="CU"/>
    <s v=""/>
    <n v="6"/>
    <s v="SERVC"/>
    <s v="GRD-F051"/>
    <m/>
    <m/>
    <m/>
    <m/>
    <s v="FC000147"/>
    <s v="1"/>
    <s v="CU"/>
    <m/>
    <n v="6"/>
    <s v=""/>
    <s v="13009"/>
    <s v="Bouches du Rhône"/>
    <s v="Provence-Alpes-Côte d'Azur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283791528239"/>
    <s v="2"/>
    <s v="CU"/>
    <s v=""/>
    <n v="9"/>
    <s v="SERVC"/>
    <s v="PROTOC-501"/>
    <m/>
    <m/>
    <m/>
    <m/>
    <s v="FC000032"/>
    <s v="2"/>
    <s v="MU"/>
    <m/>
    <n v="9"/>
    <s v=""/>
    <s v="13090"/>
    <s v="Bouches du Rhône"/>
    <s v="Provence-Alpes-Côte d'Azur"/>
    <x v="0"/>
    <s v="LINKY"/>
    <n v="2"/>
    <b v="1"/>
    <b v="1"/>
    <b v="0"/>
    <b v="1"/>
    <b v="0"/>
    <b v="0"/>
    <x v="0"/>
    <x v="0"/>
    <n v="0.01"/>
    <n v="0.01"/>
    <m/>
    <m/>
  </r>
  <r>
    <s v="04302315456404"/>
    <s v="1"/>
    <s v="CU"/>
    <s v=""/>
    <n v="6"/>
    <s v="SERVC"/>
    <s v="GRD-F051"/>
    <m/>
    <m/>
    <m/>
    <m/>
    <s v="FC000147"/>
    <s v="1"/>
    <s v="CU"/>
    <m/>
    <n v="6"/>
    <s v=""/>
    <s v="51100"/>
    <s v="Marne"/>
    <s v="Champa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5130969555220"/>
    <s v="2"/>
    <s v="MU"/>
    <s v=""/>
    <n v="6"/>
    <s v="SERVC"/>
    <s v="GRD-F051"/>
    <m/>
    <m/>
    <m/>
    <m/>
    <s v="FC000142"/>
    <s v="2"/>
    <s v="MU"/>
    <m/>
    <n v="6"/>
    <s v=""/>
    <s v="54500"/>
    <s v="Meurthe-et-Moselle"/>
    <s v="Lorrai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5186975397891"/>
    <s v="1"/>
    <s v="CU"/>
    <s v=""/>
    <n v="9"/>
    <s v="SERVC"/>
    <s v="GRD-F051"/>
    <m/>
    <m/>
    <m/>
    <m/>
    <s v="FC000142"/>
    <s v="2"/>
    <s v="MU4"/>
    <m/>
    <n v="6"/>
    <s v=""/>
    <s v="54110"/>
    <s v="Meurthe-et-Moselle"/>
    <s v="Lorraine"/>
    <x v="0"/>
    <s v="LINKY"/>
    <n v="2"/>
    <b v="1"/>
    <b v="0"/>
    <b v="1"/>
    <b v="1"/>
    <b v="0"/>
    <b v="1"/>
    <x v="1"/>
    <x v="1"/>
    <n v="0"/>
    <n v="0"/>
    <s v="Le contrat cible et le contrat source sont identiques"/>
    <m/>
  </r>
  <r>
    <s v="05410998508420"/>
    <s v="1"/>
    <s v="CU"/>
    <s v=""/>
    <n v="6"/>
    <s v="SERVC"/>
    <s v="GRD-F006"/>
    <m/>
    <m/>
    <m/>
    <m/>
    <s v="FC000018"/>
    <s v="1"/>
    <s v="CU"/>
    <m/>
    <n v="6"/>
    <s v=""/>
    <s v="88100"/>
    <s v="Vosges"/>
    <s v="Lorraine"/>
    <x v="0"/>
    <s v="LINKY"/>
    <n v="2"/>
    <b v="1"/>
    <b v="1"/>
    <b v="0"/>
    <b v="0"/>
    <b v="0"/>
    <b v="0"/>
    <x v="0"/>
    <x v="0"/>
    <n v="0.01"/>
    <n v="0.01"/>
    <m/>
    <m/>
  </r>
  <r>
    <s v="06305354513287"/>
    <s v="1"/>
    <s v="CU"/>
    <s v=""/>
    <n v="6"/>
    <s v="SERVC"/>
    <s v="GRD-F051"/>
    <m/>
    <m/>
    <m/>
    <m/>
    <s v="FC000147"/>
    <s v="1"/>
    <s v="CU"/>
    <m/>
    <n v="6"/>
    <s v=""/>
    <s v="68260"/>
    <s v="Haut-Rhin"/>
    <s v="Alsa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6537047747086"/>
    <s v="2"/>
    <s v="CU"/>
    <s v=""/>
    <n v="6"/>
    <s v="SERVC"/>
    <s v="GRD-F062"/>
    <m/>
    <m/>
    <m/>
    <m/>
    <s v="FC000178"/>
    <s v="2"/>
    <s v="MU"/>
    <m/>
    <n v="6"/>
    <s v=""/>
    <s v="25000"/>
    <s v="Doubs"/>
    <s v="Franche-Comté"/>
    <x v="0"/>
    <s v="LINKY"/>
    <n v="2"/>
    <b v="1"/>
    <b v="1"/>
    <b v="0"/>
    <b v="1"/>
    <b v="0"/>
    <b v="0"/>
    <x v="0"/>
    <x v="0"/>
    <n v="0.01"/>
    <n v="0.01"/>
    <m/>
    <m/>
  </r>
  <r>
    <s v="07238205427113"/>
    <s v="2"/>
    <s v="CU"/>
    <s v=""/>
    <n v="12"/>
    <s v="SERVC"/>
    <s v="GRD-F051"/>
    <m/>
    <m/>
    <m/>
    <m/>
    <s v="FC000142"/>
    <s v="2"/>
    <s v="CU"/>
    <m/>
    <n v="12"/>
    <s v=""/>
    <s v="75011"/>
    <s v="Par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327930534139"/>
    <s v="2"/>
    <s v="MU"/>
    <s v=""/>
    <n v="12"/>
    <s v="SERVC"/>
    <s v="GRD-F027"/>
    <m/>
    <m/>
    <m/>
    <m/>
    <s v="FC000044"/>
    <s v="2"/>
    <s v="MU"/>
    <m/>
    <n v="12"/>
    <s v=""/>
    <s v="85750"/>
    <s v="Vendé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14419970954350"/>
    <s v="2"/>
    <s v="MU"/>
    <s v=""/>
    <n v="6"/>
    <s v="SERVC"/>
    <s v="PROTOC-501"/>
    <m/>
    <m/>
    <m/>
    <m/>
    <s v="FC000032"/>
    <s v="2"/>
    <s v="MU"/>
    <m/>
    <n v="6"/>
    <s v=""/>
    <s v="35480"/>
    <s v="Ille-et-Vilaine"/>
    <s v="Bretagne"/>
    <x v="0"/>
    <s v="LINKY"/>
    <n v="2"/>
    <b v="1"/>
    <b v="1"/>
    <b v="0"/>
    <b v="0"/>
    <b v="0"/>
    <b v="0"/>
    <x v="0"/>
    <x v="0"/>
    <n v="0.01"/>
    <n v="0.01"/>
    <m/>
    <m/>
  </r>
  <r>
    <s v="14489001381437"/>
    <s v="1"/>
    <s v="CU"/>
    <s v=""/>
    <n v="6"/>
    <s v="SERVC"/>
    <s v="GRD-F027"/>
    <m/>
    <m/>
    <m/>
    <m/>
    <s v="FC000022"/>
    <s v="1"/>
    <s v="CU"/>
    <m/>
    <n v="6"/>
    <s v=""/>
    <s v="35370"/>
    <s v="Ille-et-Vilaine"/>
    <s v="Bretagne"/>
    <x v="0"/>
    <s v="LINKY"/>
    <n v="2"/>
    <b v="1"/>
    <b v="1"/>
    <b v="0"/>
    <b v="0"/>
    <b v="0"/>
    <b v="0"/>
    <x v="0"/>
    <x v="0"/>
    <n v="0.01"/>
    <n v="0.01"/>
    <m/>
    <m/>
  </r>
  <r>
    <s v="01535889989399"/>
    <s v="2"/>
    <s v="MU"/>
    <s v=""/>
    <n v="6"/>
    <s v="SERVC"/>
    <s v="GRD-F006"/>
    <m/>
    <m/>
    <m/>
    <m/>
    <s v="FC000040"/>
    <s v="2"/>
    <s v="MU"/>
    <m/>
    <n v="6"/>
    <s v=""/>
    <s v="59495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14640086780989"/>
    <s v="1"/>
    <s v="CU"/>
    <s v=""/>
    <n v="6"/>
    <s v="SERVC"/>
    <s v="GRD-F003"/>
    <m/>
    <m/>
    <m/>
    <m/>
    <s v="FC000010"/>
    <s v="1"/>
    <s v="CU"/>
    <m/>
    <n v="6"/>
    <s v=""/>
    <s v="29200"/>
    <s v="Finistère"/>
    <s v="Bretagne"/>
    <x v="0"/>
    <s v="LINKY"/>
    <n v="2"/>
    <b v="1"/>
    <b v="1"/>
    <b v="0"/>
    <b v="0"/>
    <b v="0"/>
    <b v="0"/>
    <x v="0"/>
    <x v="0"/>
    <n v="0.01"/>
    <n v="0.01"/>
    <m/>
    <m/>
  </r>
  <r>
    <s v="14807235857727"/>
    <s v="2"/>
    <s v="MU"/>
    <s v=""/>
    <n v="9"/>
    <s v="SERVC"/>
    <s v="PROTOC-501"/>
    <m/>
    <m/>
    <m/>
    <m/>
    <s v="FC000032"/>
    <s v="2"/>
    <s v="MU"/>
    <m/>
    <n v="9"/>
    <s v=""/>
    <s v="56750"/>
    <s v="Morbihan"/>
    <s v="Bretagne"/>
    <x v="0"/>
    <s v="LINKY"/>
    <n v="2"/>
    <b v="1"/>
    <b v="1"/>
    <b v="0"/>
    <b v="0"/>
    <b v="0"/>
    <b v="0"/>
    <x v="0"/>
    <x v="0"/>
    <n v="0.01"/>
    <n v="0.01"/>
    <m/>
    <m/>
  </r>
  <r>
    <s v="15253979656309"/>
    <s v="2"/>
    <s v="MU"/>
    <s v=""/>
    <n v="9"/>
    <s v="SERVC"/>
    <s v="PROTOC-501"/>
    <m/>
    <m/>
    <m/>
    <m/>
    <s v="FC000032"/>
    <s v="2"/>
    <s v="MU"/>
    <m/>
    <n v="9"/>
    <s v=""/>
    <s v="17320"/>
    <s v="Charente Maritime"/>
    <s v="Poitou-Charente"/>
    <x v="0"/>
    <s v="LINKY"/>
    <n v="2"/>
    <b v="1"/>
    <b v="1"/>
    <b v="0"/>
    <b v="0"/>
    <b v="0"/>
    <b v="0"/>
    <x v="0"/>
    <x v="0"/>
    <n v="0.01"/>
    <n v="0.01"/>
    <m/>
    <m/>
  </r>
  <r>
    <s v="17115774224342"/>
    <s v="1"/>
    <s v="CU"/>
    <s v=""/>
    <n v="6"/>
    <s v="SERVC"/>
    <s v="GRD-F051"/>
    <m/>
    <m/>
    <m/>
    <m/>
    <s v="FC000147"/>
    <s v="1"/>
    <s v="CU"/>
    <m/>
    <n v="6"/>
    <s v=""/>
    <s v="63115"/>
    <s v="Puy-de-Dôme"/>
    <s v="Auver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7183357354401"/>
    <s v="2"/>
    <s v="CU"/>
    <s v=""/>
    <n v="9"/>
    <s v="SERVC"/>
    <s v="GRD-F051"/>
    <m/>
    <m/>
    <m/>
    <m/>
    <s v="FC000142"/>
    <s v="2"/>
    <s v="MU"/>
    <m/>
    <n v="9"/>
    <s v=""/>
    <s v="63200"/>
    <s v="Puy-de-Dôme"/>
    <s v="Auvergne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19467149014458"/>
    <s v="1"/>
    <s v="CU"/>
    <s v=""/>
    <n v="18"/>
    <s v="SERVC"/>
    <s v="GRD-F051"/>
    <m/>
    <m/>
    <m/>
    <m/>
    <s v="FC000147"/>
    <s v="1"/>
    <s v="CU"/>
    <m/>
    <n v="18"/>
    <s v=""/>
    <s v="69290"/>
    <s v="Rhône"/>
    <s v="Rhône-Alp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9786107074902"/>
    <s v="1"/>
    <s v="CU"/>
    <s v=""/>
    <n v="9"/>
    <s v="SERVC"/>
    <s v="GRD-F006"/>
    <m/>
    <m/>
    <m/>
    <m/>
    <s v="FC000018"/>
    <s v="1"/>
    <s v="CU"/>
    <m/>
    <n v="9"/>
    <s v=""/>
    <s v="26200"/>
    <s v="Drôme"/>
    <s v="Rhône-Alpes"/>
    <x v="0"/>
    <s v="LINKY"/>
    <n v="2"/>
    <b v="1"/>
    <b v="1"/>
    <b v="0"/>
    <b v="0"/>
    <b v="0"/>
    <b v="0"/>
    <x v="0"/>
    <x v="0"/>
    <n v="0.01"/>
    <n v="0.01"/>
    <m/>
    <m/>
  </r>
  <r>
    <s v="19882633840580"/>
    <s v="1"/>
    <s v="CU"/>
    <s v=""/>
    <n v="6"/>
    <s v="SERVC"/>
    <s v="GRD-F051"/>
    <m/>
    <m/>
    <m/>
    <m/>
    <s v="FC000147"/>
    <s v="1"/>
    <s v="CU"/>
    <m/>
    <n v="6"/>
    <s v=""/>
    <s v="42650"/>
    <s v="Loire"/>
    <s v="Rhône-Alp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2165846586613"/>
    <s v="2"/>
    <s v="MU"/>
    <s v=""/>
    <n v="9"/>
    <s v="SERVC"/>
    <s v="GRD-F051"/>
    <m/>
    <m/>
    <m/>
    <m/>
    <s v="FC000142"/>
    <s v="2"/>
    <s v="MU"/>
    <m/>
    <n v="9"/>
    <s v=""/>
    <s v="76800"/>
    <s v="Seine-Maritime"/>
    <s v="Haute-Norman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2432561503494"/>
    <s v="1"/>
    <s v="CU"/>
    <s v=""/>
    <n v="6"/>
    <s v="SERVC"/>
    <s v="GRD-F051"/>
    <m/>
    <m/>
    <m/>
    <m/>
    <s v="FC000147"/>
    <s v="1"/>
    <s v="CU"/>
    <m/>
    <n v="6"/>
    <s v=""/>
    <s v="14000"/>
    <s v="Calvados"/>
    <s v="Basse-Norman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506078044860"/>
    <s v="1"/>
    <s v="CU"/>
    <s v=""/>
    <n v="9"/>
    <s v="SERVC"/>
    <s v="GRD-F051"/>
    <m/>
    <m/>
    <m/>
    <m/>
    <s v="FC000147"/>
    <s v="1"/>
    <s v="CU"/>
    <m/>
    <n v="9"/>
    <s v=""/>
    <s v="34160"/>
    <s v="Hérault"/>
    <s v="Languedoc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528075197635"/>
    <s v="1"/>
    <s v="CU"/>
    <s v=""/>
    <n v="9"/>
    <s v="SERVC"/>
    <s v="GRD-F006"/>
    <m/>
    <m/>
    <m/>
    <m/>
    <s v="FC000018"/>
    <s v="1"/>
    <s v="CU"/>
    <m/>
    <n v="9"/>
    <s v=""/>
    <s v="30900"/>
    <s v="Gard"/>
    <s v="Languedoc"/>
    <x v="0"/>
    <s v="LINKY"/>
    <n v="2"/>
    <b v="1"/>
    <b v="1"/>
    <b v="0"/>
    <b v="0"/>
    <b v="0"/>
    <b v="0"/>
    <x v="0"/>
    <x v="0"/>
    <n v="0.01"/>
    <n v="0.01"/>
    <m/>
    <m/>
  </r>
  <r>
    <s v="25348769848340"/>
    <s v="1"/>
    <s v="CU"/>
    <s v=""/>
    <n v="6"/>
    <s v="SERVC"/>
    <s v="GRD-F051"/>
    <m/>
    <m/>
    <m/>
    <m/>
    <s v="FC000147"/>
    <s v="1"/>
    <s v="CU"/>
    <m/>
    <n v="6"/>
    <s v=""/>
    <s v="83130"/>
    <s v="Var"/>
    <s v="Provence-Alpes-Côte d'Azur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922865364821"/>
    <s v="1"/>
    <s v="CU"/>
    <s v=""/>
    <n v="3"/>
    <s v="SERVC"/>
    <s v="PROTOC-501"/>
    <m/>
    <m/>
    <m/>
    <m/>
    <s v="FC000010"/>
    <s v="1"/>
    <s v="CU"/>
    <m/>
    <n v="18"/>
    <s v=""/>
    <s v="06130"/>
    <s v="Alpes-Maritimes"/>
    <s v="Provence-Alpes-Côte d'Azur"/>
    <x v="0"/>
    <s v="CBE"/>
    <n v="0"/>
    <b v="0"/>
    <b v="1"/>
    <b v="0"/>
    <b v="0"/>
    <b v="0"/>
    <b v="1"/>
    <x v="0"/>
    <x v="2"/>
    <n v="0.01"/>
    <n v="1"/>
    <m/>
    <s v="Changement de structure tarifaire sur compteur CBE"/>
  </r>
  <r>
    <s v="04328798808850"/>
    <s v="1"/>
    <s v="CU"/>
    <s v=""/>
    <n v="6"/>
    <s v="SERVC"/>
    <s v="GRD-F051"/>
    <m/>
    <m/>
    <m/>
    <m/>
    <s v="FC000147"/>
    <s v="1"/>
    <s v="CU"/>
    <m/>
    <n v="6"/>
    <s v=""/>
    <s v="51370"/>
    <s v="Marne"/>
    <s v="Champa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5201591875504"/>
    <s v="2"/>
    <s v="MU"/>
    <s v=""/>
    <n v="6"/>
    <s v="SERVC"/>
    <s v="GRD-F027"/>
    <m/>
    <m/>
    <m/>
    <m/>
    <s v="FC000044"/>
    <s v="2"/>
    <s v="MU"/>
    <m/>
    <n v="6"/>
    <s v=""/>
    <s v="55500"/>
    <s v="Meuse"/>
    <s v="Lorraine"/>
    <x v="0"/>
    <s v="LINKY"/>
    <n v="2"/>
    <b v="1"/>
    <b v="1"/>
    <b v="0"/>
    <b v="0"/>
    <b v="0"/>
    <b v="0"/>
    <x v="0"/>
    <x v="0"/>
    <n v="0.01"/>
    <n v="0.01"/>
    <m/>
    <m/>
  </r>
  <r>
    <s v="05282633852284"/>
    <s v="2"/>
    <s v="CU"/>
    <s v=""/>
    <n v="12"/>
    <s v="SERVC"/>
    <s v="PROTOC-501"/>
    <m/>
    <m/>
    <m/>
    <m/>
    <s v="FC000032"/>
    <s v="2"/>
    <s v="MU4"/>
    <m/>
    <n v="12"/>
    <s v=""/>
    <s v="52000"/>
    <s v="Haute-Marne"/>
    <s v="Champagne"/>
    <x v="0"/>
    <s v="LINKY"/>
    <n v="2"/>
    <b v="1"/>
    <b v="1"/>
    <b v="0"/>
    <b v="1"/>
    <b v="0"/>
    <b v="0"/>
    <x v="0"/>
    <x v="0"/>
    <n v="0.01"/>
    <n v="0.01"/>
    <m/>
    <m/>
  </r>
  <r>
    <s v="05520115707256"/>
    <s v="1"/>
    <s v="CU"/>
    <s v=""/>
    <n v="6"/>
    <s v="SERVC"/>
    <s v="GRD-F051"/>
    <m/>
    <m/>
    <m/>
    <m/>
    <s v="FC000147"/>
    <s v="1"/>
    <s v="CU"/>
    <m/>
    <n v="6"/>
    <s v=""/>
    <s v="57220"/>
    <s v="Moselle"/>
    <s v="Lorrai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6321852327986"/>
    <s v="2"/>
    <s v="MU"/>
    <s v=""/>
    <n v="15"/>
    <s v="SERVC"/>
    <s v="PROTOC-501"/>
    <m/>
    <m/>
    <m/>
    <m/>
    <s v="FC000032"/>
    <s v="2"/>
    <s v="MU"/>
    <m/>
    <n v="15"/>
    <s v=""/>
    <s v="68970"/>
    <s v="Haut-Rhin"/>
    <s v="Alsace"/>
    <x v="0"/>
    <s v="LINKY"/>
    <n v="2"/>
    <b v="1"/>
    <b v="1"/>
    <b v="0"/>
    <b v="0"/>
    <b v="0"/>
    <b v="0"/>
    <x v="0"/>
    <x v="0"/>
    <n v="0.01"/>
    <n v="0.01"/>
    <m/>
    <m/>
  </r>
  <r>
    <s v="24503039046820"/>
    <s v="1"/>
    <s v="CU"/>
    <s v=""/>
    <n v="6"/>
    <s v="SERVC"/>
    <s v="GRD-F006"/>
    <m/>
    <m/>
    <m/>
    <m/>
    <s v="FC000018"/>
    <s v="1"/>
    <s v="CU"/>
    <m/>
    <n v="6"/>
    <s v=""/>
    <s v="30900"/>
    <s v="Gard"/>
    <s v="Languedoc"/>
    <x v="0"/>
    <s v="LINKY"/>
    <n v="2"/>
    <b v="1"/>
    <b v="1"/>
    <b v="0"/>
    <b v="0"/>
    <b v="0"/>
    <b v="0"/>
    <x v="0"/>
    <x v="0"/>
    <n v="0.01"/>
    <n v="0.01"/>
    <m/>
    <m/>
  </r>
  <r>
    <s v="04230390720150"/>
    <s v="2"/>
    <s v="MU"/>
    <s v=""/>
    <n v="9"/>
    <s v="SERVC"/>
    <s v="GRD-F051"/>
    <m/>
    <m/>
    <m/>
    <m/>
    <s v="FC000142"/>
    <s v="2"/>
    <s v="MU"/>
    <m/>
    <n v="9"/>
    <s v=""/>
    <s v="08000"/>
    <s v="Ardennes"/>
    <s v="Champa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159478956441"/>
    <s v="2"/>
    <s v="CU"/>
    <s v=""/>
    <n v="9"/>
    <s v="SERVC"/>
    <s v="GRD-F027"/>
    <m/>
    <m/>
    <m/>
    <m/>
    <s v="FC000044"/>
    <s v="2"/>
    <s v="MU"/>
    <m/>
    <n v="9"/>
    <s v=""/>
    <s v="13013"/>
    <s v="Bouches du Rhône"/>
    <s v="Provence-Alpes-Côte d'Azur"/>
    <x v="0"/>
    <s v="LINKY"/>
    <n v="2"/>
    <b v="1"/>
    <b v="1"/>
    <b v="0"/>
    <b v="1"/>
    <b v="0"/>
    <b v="0"/>
    <x v="0"/>
    <x v="0"/>
    <n v="0.01"/>
    <n v="0.01"/>
    <m/>
    <m/>
  </r>
  <r>
    <s v="25479015895687"/>
    <s v="2"/>
    <s v="CU"/>
    <s v=""/>
    <n v="6"/>
    <s v="SERVC"/>
    <s v="GRD-F051"/>
    <m/>
    <m/>
    <m/>
    <m/>
    <s v="FC000142"/>
    <s v="2"/>
    <s v="CU"/>
    <m/>
    <n v="6"/>
    <s v=""/>
    <s v="06500"/>
    <s v="Alpes-Maritimes"/>
    <s v="Provence-Alpes-Côte d'Azur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5131548466509"/>
    <s v="1"/>
    <s v="CU"/>
    <s v=""/>
    <n v="6"/>
    <s v="SERVC"/>
    <s v="GRD-F051"/>
    <m/>
    <m/>
    <m/>
    <m/>
    <s v="FC000147"/>
    <s v="1"/>
    <s v="CU"/>
    <m/>
    <n v="6"/>
    <s v=""/>
    <s v="54250"/>
    <s v="Meurthe-et-Moselle"/>
    <s v="Lorrai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233719188108"/>
    <s v="1"/>
    <s v="CU"/>
    <s v=""/>
    <n v="6"/>
    <s v="SERVC"/>
    <s v="GRD-F027"/>
    <m/>
    <m/>
    <m/>
    <m/>
    <s v="FC000022"/>
    <s v="1"/>
    <s v="CU"/>
    <m/>
    <n v="6"/>
    <s v=""/>
    <s v="593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7181765502251"/>
    <s v="2"/>
    <s v="MU"/>
    <s v=""/>
    <n v="6"/>
    <s v="SERVC"/>
    <s v="GRD-F051"/>
    <m/>
    <m/>
    <m/>
    <m/>
    <s v="FC000142"/>
    <s v="2"/>
    <s v="MU"/>
    <m/>
    <n v="6"/>
    <s v=""/>
    <s v="75010"/>
    <s v="Par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246020233334"/>
    <s v="1"/>
    <s v="CU"/>
    <s v=""/>
    <n v="9"/>
    <s v="SERVC"/>
    <s v="GRD-F027"/>
    <m/>
    <m/>
    <m/>
    <m/>
    <s v="FC000022"/>
    <s v="1"/>
    <s v="CU"/>
    <m/>
    <n v="9"/>
    <s v=""/>
    <s v="593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9535600521688"/>
    <s v="2"/>
    <s v="MU"/>
    <s v=""/>
    <n v="6"/>
    <s v="SERVC"/>
    <s v="GRD-F027"/>
    <m/>
    <m/>
    <m/>
    <m/>
    <s v="FC000044"/>
    <s v="2"/>
    <s v="MU"/>
    <m/>
    <n v="6"/>
    <s v=""/>
    <s v="45000"/>
    <s v="Loiret"/>
    <s v="Centre"/>
    <x v="0"/>
    <s v="LINKY"/>
    <n v="1"/>
    <b v="1"/>
    <b v="1"/>
    <b v="0"/>
    <b v="0"/>
    <b v="0"/>
    <b v="0"/>
    <x v="0"/>
    <x v="0"/>
    <n v="0.01"/>
    <n v="0.01"/>
    <m/>
    <m/>
  </r>
  <r>
    <s v="12108104179215"/>
    <s v="1"/>
    <s v="CU"/>
    <s v=""/>
    <n v="9"/>
    <s v="SERVC"/>
    <s v="GRD-F051"/>
    <m/>
    <m/>
    <m/>
    <m/>
    <s v="FC000142"/>
    <s v="2"/>
    <s v="MU"/>
    <m/>
    <n v="9"/>
    <s v=""/>
    <s v="71110"/>
    <s v="Saône-et-Loire"/>
    <s v="Bourgogne"/>
    <x v="0"/>
    <s v="CBE"/>
    <n v="0"/>
    <b v="0"/>
    <b v="0"/>
    <b v="1"/>
    <b v="1"/>
    <b v="0"/>
    <b v="0"/>
    <x v="1"/>
    <x v="1"/>
    <n v="0"/>
    <n v="0"/>
    <s v="Le contrat cible et le contrat source sont identiques"/>
    <m/>
  </r>
  <r>
    <s v="12137771284298"/>
    <s v="1"/>
    <s v="CU"/>
    <s v=""/>
    <n v="6"/>
    <s v="SERVC"/>
    <s v="GRD-F027"/>
    <m/>
    <m/>
    <m/>
    <m/>
    <s v="FC000022"/>
    <s v="1"/>
    <s v="CU"/>
    <m/>
    <n v="6"/>
    <s v=""/>
    <s v="71118"/>
    <s v="Saône-et-Loire"/>
    <s v="Bourgogne"/>
    <x v="0"/>
    <s v="LINKY"/>
    <n v="2"/>
    <b v="1"/>
    <b v="1"/>
    <b v="0"/>
    <b v="0"/>
    <b v="0"/>
    <b v="0"/>
    <x v="0"/>
    <x v="0"/>
    <n v="0.01"/>
    <n v="0.01"/>
    <m/>
    <m/>
  </r>
  <r>
    <s v="12169030330605"/>
    <s v="1"/>
    <s v="CU"/>
    <s v=""/>
    <n v="6"/>
    <s v="SERVC"/>
    <s v="GRD-F051"/>
    <m/>
    <m/>
    <m/>
    <m/>
    <s v="FC000147"/>
    <s v="1"/>
    <s v="CU"/>
    <m/>
    <n v="6"/>
    <s v=""/>
    <s v="71230"/>
    <s v="Saône-et-Loire"/>
    <s v="Bourgo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2201447124473"/>
    <s v="1"/>
    <s v="CU"/>
    <s v=""/>
    <n v="6"/>
    <s v="SERVC"/>
    <s v="GRD-F006"/>
    <m/>
    <m/>
    <m/>
    <m/>
    <s v="FC000018"/>
    <s v="1"/>
    <s v="CU"/>
    <m/>
    <n v="6"/>
    <s v=""/>
    <s v="21850"/>
    <s v="Côte d'Or"/>
    <s v="Bourgogne"/>
    <x v="0"/>
    <s v="LINKY"/>
    <n v="2"/>
    <b v="1"/>
    <b v="1"/>
    <b v="0"/>
    <b v="0"/>
    <b v="0"/>
    <b v="0"/>
    <x v="0"/>
    <x v="0"/>
    <n v="0.01"/>
    <n v="0.01"/>
    <m/>
    <m/>
  </r>
  <r>
    <s v="01152677212232"/>
    <s v="1"/>
    <s v="CU"/>
    <s v=""/>
    <n v="9"/>
    <s v="SERVC"/>
    <s v="GRD-F051"/>
    <m/>
    <m/>
    <m/>
    <m/>
    <s v="FC000147"/>
    <s v="1"/>
    <s v="CU"/>
    <m/>
    <n v="9"/>
    <s v=""/>
    <s v="59000"/>
    <s v="Nord"/>
    <s v="Nord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216497820945"/>
    <s v="2"/>
    <s v="MU"/>
    <s v=""/>
    <n v="9"/>
    <s v="SERVC"/>
    <s v="GRD-F051"/>
    <m/>
    <m/>
    <m/>
    <m/>
    <s v="FC000142"/>
    <s v="2"/>
    <s v="MU"/>
    <m/>
    <n v="9"/>
    <s v=""/>
    <s v="59970"/>
    <s v="Nord"/>
    <s v="Nord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779739484200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s v="Cent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258031762342"/>
    <s v="1"/>
    <s v="CU"/>
    <s v=""/>
    <n v="12"/>
    <s v="SERVC"/>
    <s v="GRD-F051"/>
    <m/>
    <m/>
    <m/>
    <m/>
    <s v="FC000147"/>
    <s v="1"/>
    <s v="CU"/>
    <m/>
    <n v="12"/>
    <s v=""/>
    <s v="59230"/>
    <s v="Nord"/>
    <s v="Nord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2183502155970"/>
    <s v="1"/>
    <s v="CU"/>
    <s v=""/>
    <n v="9"/>
    <s v="SERVC"/>
    <s v="PROTOC-501"/>
    <m/>
    <m/>
    <m/>
    <m/>
    <s v="FC000010"/>
    <s v="1"/>
    <s v="CU"/>
    <m/>
    <n v="9"/>
    <s v=""/>
    <s v="71450"/>
    <s v="Saône-et-Loire"/>
    <s v="Bourgogne"/>
    <x v="0"/>
    <s v="LINKY"/>
    <n v="2"/>
    <b v="1"/>
    <b v="1"/>
    <b v="0"/>
    <b v="0"/>
    <b v="0"/>
    <b v="0"/>
    <x v="0"/>
    <x v="0"/>
    <n v="0.01"/>
    <n v="0.01"/>
    <m/>
    <m/>
  </r>
  <r>
    <s v="12220984029366"/>
    <s v="1"/>
    <s v="CU"/>
    <s v=""/>
    <n v="6"/>
    <s v="SERVC"/>
    <s v="GRD-F051"/>
    <m/>
    <m/>
    <m/>
    <m/>
    <s v="FC000147"/>
    <s v="1"/>
    <s v="CU"/>
    <m/>
    <n v="6"/>
    <s v=""/>
    <s v="21000"/>
    <s v="Côte d'Or"/>
    <s v="Bourgo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14616307966"/>
    <s v="2"/>
    <s v="CU"/>
    <s v=""/>
    <n v="12"/>
    <s v="SERVC"/>
    <s v="GRD-F006"/>
    <m/>
    <m/>
    <m/>
    <m/>
    <s v="FC000040"/>
    <s v="2"/>
    <s v="MU"/>
    <m/>
    <n v="12"/>
    <s v=""/>
    <s v="44860"/>
    <s v="Loire-Atlantique"/>
    <s v="Pays-de-la-Loire"/>
    <x v="0"/>
    <s v="LINKY"/>
    <n v="2"/>
    <b v="1"/>
    <b v="1"/>
    <b v="0"/>
    <b v="1"/>
    <b v="0"/>
    <b v="0"/>
    <x v="0"/>
    <x v="0"/>
    <n v="0.01"/>
    <n v="0.01"/>
    <m/>
    <m/>
  </r>
  <r>
    <s v="14234732230706"/>
    <s v="1"/>
    <s v="CU"/>
    <s v=""/>
    <n v="6"/>
    <s v="SERVC"/>
    <s v="GRD-F051"/>
    <m/>
    <m/>
    <m/>
    <m/>
    <s v="FC000147"/>
    <s v="1"/>
    <s v="CU"/>
    <m/>
    <n v="6"/>
    <s v=""/>
    <s v="4462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1267438471755"/>
    <s v="2"/>
    <s v="CU"/>
    <s v=""/>
    <n v="15"/>
    <s v="SERVC"/>
    <s v="GRD-F027"/>
    <m/>
    <m/>
    <m/>
    <m/>
    <s v="FC000044"/>
    <s v="2"/>
    <s v="CU"/>
    <m/>
    <n v="15"/>
    <s v=""/>
    <s v="78980"/>
    <s v="Yvelines"/>
    <s v="Ile-de-France"/>
    <x v="0"/>
    <s v="LINKY"/>
    <n v="2"/>
    <b v="1"/>
    <b v="1"/>
    <b v="0"/>
    <b v="0"/>
    <b v="0"/>
    <b v="0"/>
    <x v="0"/>
    <x v="0"/>
    <n v="0.01"/>
    <n v="0.01"/>
    <m/>
    <m/>
  </r>
  <r>
    <s v="22203328447220"/>
    <s v="2"/>
    <s v="CU"/>
    <s v=""/>
    <n v="15"/>
    <s v="SERVC"/>
    <s v="GRD-F051"/>
    <m/>
    <m/>
    <m/>
    <m/>
    <s v="FC000142"/>
    <s v="2"/>
    <s v="CU"/>
    <m/>
    <n v="15"/>
    <s v=""/>
    <s v="91140"/>
    <s v="Esson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2483502142714"/>
    <s v="1"/>
    <s v="CU"/>
    <s v=""/>
    <n v="9"/>
    <s v="SERVC"/>
    <s v="GRD-F051"/>
    <m/>
    <m/>
    <m/>
    <m/>
    <s v="FC000147"/>
    <s v="1"/>
    <s v="CU"/>
    <m/>
    <n v="9"/>
    <s v=""/>
    <s v="93160"/>
    <s v="Seine-St-Den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3187554184220"/>
    <s v="1"/>
    <s v="CU"/>
    <s v=""/>
    <n v="9"/>
    <s v="SERVC"/>
    <s v="GRD-F051"/>
    <m/>
    <m/>
    <m/>
    <m/>
    <s v="FC000147"/>
    <s v="1"/>
    <s v="CU"/>
    <m/>
    <n v="9"/>
    <s v=""/>
    <s v="31300"/>
    <s v="Haute-Garonne"/>
    <s v="Midi-Pyréné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3237915960863"/>
    <s v="1"/>
    <s v="CU"/>
    <s v=""/>
    <n v="6"/>
    <s v="SERVC"/>
    <s v="GRD-F051"/>
    <m/>
    <m/>
    <m/>
    <m/>
    <s v="FC000147"/>
    <s v="1"/>
    <s v="MU4"/>
    <m/>
    <n v="6"/>
    <s v=""/>
    <s v="81150"/>
    <s v="Tarn"/>
    <s v="Midi-Pyrénées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23268306795686"/>
    <s v="2"/>
    <s v="CU"/>
    <s v=""/>
    <n v="18"/>
    <s v="SERVC"/>
    <s v="GRD-F051"/>
    <m/>
    <m/>
    <m/>
    <m/>
    <s v="FC000142"/>
    <s v="2"/>
    <s v="CU"/>
    <m/>
    <n v="18"/>
    <s v=""/>
    <s v="81100"/>
    <s v="Tarn"/>
    <s v="Midi-Pyréné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390882606201"/>
    <s v="1"/>
    <s v="CU"/>
    <s v=""/>
    <n v="6"/>
    <s v="SERVC"/>
    <s v="GRD-F051"/>
    <m/>
    <m/>
    <m/>
    <m/>
    <s v="FC000147"/>
    <s v="1"/>
    <s v="CU"/>
    <m/>
    <n v="6"/>
    <s v=""/>
    <s v="34070"/>
    <s v="Hérault"/>
    <s v="Languedoc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2110853805435"/>
    <s v="2"/>
    <s v="CU"/>
    <s v=""/>
    <n v="6"/>
    <s v="SERVC"/>
    <s v="GRD-F027"/>
    <m/>
    <m/>
    <m/>
    <m/>
    <s v="FC000044"/>
    <s v="2"/>
    <s v="CU"/>
    <m/>
    <n v="6"/>
    <s v=""/>
    <s v="71200"/>
    <s v="Saône-et-Loire"/>
    <s v="Bourgogne"/>
    <x v="0"/>
    <s v="LINKY"/>
    <n v="2"/>
    <b v="1"/>
    <b v="1"/>
    <b v="0"/>
    <b v="0"/>
    <b v="0"/>
    <b v="0"/>
    <x v="0"/>
    <x v="0"/>
    <n v="0.01"/>
    <n v="0.01"/>
    <m/>
    <m/>
  </r>
  <r>
    <s v="14206656951307"/>
    <s v="2"/>
    <s v="MU"/>
    <s v=""/>
    <n v="15"/>
    <s v="SERVC"/>
    <s v="GRD-F051"/>
    <m/>
    <m/>
    <m/>
    <m/>
    <s v="FC000142"/>
    <s v="2"/>
    <s v="MU"/>
    <m/>
    <n v="15"/>
    <s v=""/>
    <s v="4480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95802994699"/>
    <s v="1"/>
    <s v="CU"/>
    <s v=""/>
    <n v="6"/>
    <s v="SERVC"/>
    <s v="GRD-F006"/>
    <m/>
    <m/>
    <m/>
    <m/>
    <s v="FC000018"/>
    <s v="1"/>
    <s v="CU"/>
    <m/>
    <n v="6"/>
    <s v=""/>
    <s v="44340"/>
    <s v="Loire-Atlantiqu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14356584595606"/>
    <s v="1"/>
    <s v="CU"/>
    <s v=""/>
    <n v="6"/>
    <s v="SERVC"/>
    <s v="GRD-F027"/>
    <m/>
    <m/>
    <m/>
    <m/>
    <s v="FC000022"/>
    <s v="1"/>
    <s v="CU"/>
    <m/>
    <n v="6"/>
    <s v=""/>
    <s v="85600"/>
    <s v="Vendé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14453690288654"/>
    <s v="1"/>
    <s v="CU"/>
    <s v=""/>
    <n v="6"/>
    <s v="SERVC"/>
    <s v="PROTOC-501"/>
    <m/>
    <m/>
    <m/>
    <m/>
    <s v="FC000010"/>
    <s v="1"/>
    <s v="MU4"/>
    <m/>
    <n v="6"/>
    <s v=""/>
    <s v="35160"/>
    <s v="Ille-et-Vilaine"/>
    <s v="Bretagne"/>
    <x v="0"/>
    <s v="LINKY"/>
    <n v="2"/>
    <b v="1"/>
    <b v="1"/>
    <b v="0"/>
    <b v="1"/>
    <b v="0"/>
    <b v="0"/>
    <x v="0"/>
    <x v="0"/>
    <n v="0.01"/>
    <n v="0.01"/>
    <m/>
    <m/>
  </r>
  <r>
    <s v="14485672926030"/>
    <s v="2"/>
    <s v="MU"/>
    <s v=""/>
    <n v="6"/>
    <s v="SERVC"/>
    <s v="PROTOC-501"/>
    <m/>
    <m/>
    <m/>
    <m/>
    <s v="FC000032"/>
    <s v="2"/>
    <s v="MU"/>
    <m/>
    <n v="6"/>
    <s v=""/>
    <s v="35720"/>
    <s v="Ille-et-Vilaine"/>
    <s v="Bretagne"/>
    <x v="0"/>
    <s v="LINKY"/>
    <n v="2"/>
    <b v="1"/>
    <b v="1"/>
    <b v="0"/>
    <b v="0"/>
    <b v="0"/>
    <b v="0"/>
    <x v="0"/>
    <x v="0"/>
    <n v="0.01"/>
    <n v="0.01"/>
    <m/>
    <m/>
  </r>
  <r>
    <s v="15431259006722"/>
    <s v="2"/>
    <s v="MU"/>
    <s v=""/>
    <n v="9"/>
    <s v="SERVC"/>
    <s v="GRD-F051"/>
    <m/>
    <m/>
    <m/>
    <m/>
    <s v="FC000142"/>
    <s v="2"/>
    <s v="MU"/>
    <m/>
    <n v="9"/>
    <s v=""/>
    <s v="79000"/>
    <s v="Deux-Sèvres"/>
    <s v="Poitou-Charent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6128798659892"/>
    <s v="2"/>
    <s v="CU"/>
    <s v=""/>
    <n v="9"/>
    <s v="SERVC"/>
    <s v="GRD-F052"/>
    <m/>
    <m/>
    <m/>
    <m/>
    <s v="FC000145"/>
    <s v="2"/>
    <s v="CU"/>
    <m/>
    <n v="9"/>
    <s v=""/>
    <s v="33450"/>
    <s v="Gironde"/>
    <s v="Aquitaine"/>
    <x v="0"/>
    <s v="LINKY"/>
    <n v="2"/>
    <b v="1"/>
    <b v="1"/>
    <b v="0"/>
    <b v="0"/>
    <b v="0"/>
    <b v="0"/>
    <x v="0"/>
    <x v="0"/>
    <n v="0.01"/>
    <n v="0.01"/>
    <m/>
    <m/>
  </r>
  <r>
    <s v="17145151895189"/>
    <s v="1"/>
    <s v="CU"/>
    <s v=""/>
    <n v="6"/>
    <s v="SERVC"/>
    <s v="GRD-F001"/>
    <m/>
    <m/>
    <m/>
    <m/>
    <s v="FC000063"/>
    <s v="1"/>
    <s v="CU"/>
    <m/>
    <n v="6"/>
    <s v=""/>
    <s v="63670"/>
    <s v="Puy-de-Dôme"/>
    <s v="Auvergne"/>
    <x v="0"/>
    <s v="LINKY"/>
    <n v="2"/>
    <b v="1"/>
    <b v="1"/>
    <b v="0"/>
    <b v="0"/>
    <b v="0"/>
    <b v="0"/>
    <x v="0"/>
    <x v="0"/>
    <n v="0.01"/>
    <n v="0.01"/>
    <m/>
    <m/>
  </r>
  <r>
    <s v="17394355985724"/>
    <s v="1"/>
    <s v="CU"/>
    <s v=""/>
    <n v="6"/>
    <s v="SERVC"/>
    <s v="GRD-F051"/>
    <m/>
    <m/>
    <m/>
    <m/>
    <s v="FC000147"/>
    <s v="1"/>
    <s v="CU"/>
    <m/>
    <n v="6"/>
    <s v=""/>
    <s v="03200"/>
    <s v="Allier"/>
    <s v="Auver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2141533935685"/>
    <s v="1"/>
    <s v="CU"/>
    <s v=""/>
    <n v="6"/>
    <s v="SERVC"/>
    <s v="PROTOC-501"/>
    <m/>
    <m/>
    <m/>
    <m/>
    <s v="FC000010"/>
    <s v="1"/>
    <s v="CU"/>
    <m/>
    <n v="6"/>
    <s v=""/>
    <s v="76650"/>
    <s v="Seine-Maritime"/>
    <s v="Haute-Normandie"/>
    <x v="0"/>
    <s v="LINKY"/>
    <n v="2"/>
    <b v="1"/>
    <b v="1"/>
    <b v="0"/>
    <b v="0"/>
    <b v="0"/>
    <b v="0"/>
    <x v="0"/>
    <x v="0"/>
    <n v="0.01"/>
    <n v="0.01"/>
    <m/>
    <m/>
  </r>
  <r>
    <s v="19835745252240"/>
    <s v="1"/>
    <s v="CU"/>
    <s v=""/>
    <n v="9"/>
    <s v="SERVC"/>
    <s v="GRD-F051"/>
    <m/>
    <m/>
    <m/>
    <m/>
    <s v="FC000147"/>
    <s v="1"/>
    <s v="MU4"/>
    <m/>
    <n v="9"/>
    <s v=""/>
    <s v="42300"/>
    <s v="Loire"/>
    <s v="Rhône-Alpes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21146599040177"/>
    <s v="1"/>
    <s v="CU"/>
    <s v=""/>
    <n v="6"/>
    <s v="SERVC"/>
    <s v="PROTOC-501"/>
    <m/>
    <m/>
    <m/>
    <m/>
    <s v="FC000010"/>
    <s v="1"/>
    <s v="CU"/>
    <m/>
    <n v="6"/>
    <s v=""/>
    <s v="78610"/>
    <s v="Yvelines"/>
    <s v="Ile-de-France"/>
    <x v="0"/>
    <s v="LINKY"/>
    <n v="2"/>
    <b v="1"/>
    <b v="1"/>
    <b v="0"/>
    <b v="0"/>
    <b v="0"/>
    <b v="0"/>
    <x v="0"/>
    <x v="0"/>
    <n v="0.01"/>
    <n v="0.01"/>
    <m/>
    <m/>
  </r>
  <r>
    <s v="02156005767382"/>
    <s v="1"/>
    <s v="CU"/>
    <s v=""/>
    <n v="6"/>
    <s v="SERVC"/>
    <s v="GRD-F051"/>
    <m/>
    <m/>
    <m/>
    <m/>
    <s v="FC000147"/>
    <s v="1"/>
    <s v="CU"/>
    <m/>
    <n v="6"/>
    <s v=""/>
    <s v="76520"/>
    <s v="Seine-Maritime"/>
    <s v="Haute-Norman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787409527772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s v="Cent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890882723968"/>
    <s v="2"/>
    <s v="MU"/>
    <s v=""/>
    <n v="6"/>
    <s v="SERVC"/>
    <s v="PROTOC-501"/>
    <m/>
    <m/>
    <m/>
    <m/>
    <s v="FC000032"/>
    <s v="2"/>
    <s v="MU"/>
    <m/>
    <n v="6"/>
    <s v=""/>
    <s v="56100"/>
    <s v="Morbihan"/>
    <s v="Bretagne"/>
    <x v="0"/>
    <s v="LINKY"/>
    <n v="2"/>
    <b v="1"/>
    <b v="1"/>
    <b v="0"/>
    <b v="0"/>
    <b v="0"/>
    <b v="0"/>
    <x v="0"/>
    <x v="0"/>
    <n v="0.01"/>
    <n v="0.01"/>
    <m/>
    <m/>
  </r>
  <r>
    <s v="07347901534794"/>
    <s v="1"/>
    <s v="CU"/>
    <s v=""/>
    <n v="6"/>
    <s v="SERVC"/>
    <s v="GRD-F051"/>
    <m/>
    <m/>
    <m/>
    <m/>
    <s v="FC000147"/>
    <s v="1"/>
    <s v="CU"/>
    <m/>
    <n v="6"/>
    <s v=""/>
    <s v="75013"/>
    <s v="Par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108827769167"/>
    <s v="2"/>
    <s v="CU"/>
    <s v=""/>
    <n v="9"/>
    <s v="SERVC"/>
    <s v="PROTOC-501"/>
    <m/>
    <m/>
    <m/>
    <m/>
    <s v="FC000032"/>
    <s v="2"/>
    <s v="MU"/>
    <m/>
    <n v="9"/>
    <s v=""/>
    <s v="72200"/>
    <s v="Sarthe"/>
    <s v="Pays-de-la-Loire"/>
    <x v="0"/>
    <s v="LINKY"/>
    <n v="2"/>
    <b v="1"/>
    <b v="1"/>
    <b v="0"/>
    <b v="1"/>
    <b v="0"/>
    <b v="0"/>
    <x v="0"/>
    <x v="0"/>
    <n v="0.01"/>
    <n v="0.01"/>
    <m/>
    <m/>
  </r>
  <r>
    <s v="09315918941515"/>
    <s v="1"/>
    <s v="CU"/>
    <s v=""/>
    <n v="6"/>
    <s v="SERVC"/>
    <s v="GRD-F051"/>
    <m/>
    <m/>
    <m/>
    <m/>
    <s v="FC000147"/>
    <s v="1"/>
    <s v="CU"/>
    <m/>
    <n v="6"/>
    <s v=""/>
    <s v="49300"/>
    <s v="Maine-et-Loir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717944991689"/>
    <s v="1"/>
    <s v="CU"/>
    <s v=""/>
    <n v="6"/>
    <s v="SERVC"/>
    <s v="GRD-F001"/>
    <m/>
    <m/>
    <m/>
    <m/>
    <s v="FC000063"/>
    <s v="1"/>
    <s v="MU"/>
    <m/>
    <n v="6"/>
    <s v=""/>
    <s v="37000"/>
    <s v="Indre-et-Loire"/>
    <s v="Centre"/>
    <x v="0"/>
    <s v="LINKY"/>
    <n v="2"/>
    <b v="1"/>
    <b v="1"/>
    <b v="0"/>
    <b v="1"/>
    <b v="0"/>
    <b v="0"/>
    <x v="0"/>
    <x v="0"/>
    <n v="0.01"/>
    <n v="0.01"/>
    <m/>
    <m/>
  </r>
  <r>
    <s v="14269753962495"/>
    <s v="1"/>
    <s v="CU"/>
    <s v=""/>
    <n v="6"/>
    <s v="SERVC"/>
    <s v="PROTOC-501"/>
    <m/>
    <m/>
    <m/>
    <m/>
    <s v="FC000010"/>
    <s v="1"/>
    <s v="CU"/>
    <m/>
    <n v="6"/>
    <s v=""/>
    <s v="44600"/>
    <s v="Loire-Atlantiqu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14296671365453"/>
    <s v="1"/>
    <s v="CU"/>
    <s v=""/>
    <n v="6"/>
    <s v="SERVC"/>
    <s v="PROTOC-501"/>
    <m/>
    <m/>
    <m/>
    <m/>
    <s v="FC000010"/>
    <s v="1"/>
    <s v="MU4"/>
    <m/>
    <n v="6"/>
    <s v=""/>
    <s v="44230"/>
    <s v="Loire-Atlantique"/>
    <s v="Pays-de-la-Loire"/>
    <x v="0"/>
    <s v="LINKY"/>
    <n v="2"/>
    <b v="1"/>
    <b v="1"/>
    <b v="0"/>
    <b v="1"/>
    <b v="0"/>
    <b v="0"/>
    <x v="0"/>
    <x v="0"/>
    <n v="0.01"/>
    <n v="0.01"/>
    <m/>
    <m/>
  </r>
  <r>
    <s v="14500868247269"/>
    <s v="2"/>
    <s v="MU"/>
    <s v=""/>
    <n v="9"/>
    <s v="SERVC"/>
    <s v="GRD-F027"/>
    <m/>
    <m/>
    <m/>
    <m/>
    <s v="FC000044"/>
    <s v="2"/>
    <s v="MU"/>
    <m/>
    <n v="9"/>
    <s v=""/>
    <s v="22440"/>
    <s v="Côtes d'Armor"/>
    <s v="Bretagne"/>
    <x v="0"/>
    <s v="LINKY"/>
    <n v="2"/>
    <b v="1"/>
    <b v="1"/>
    <b v="0"/>
    <b v="0"/>
    <b v="0"/>
    <b v="0"/>
    <x v="0"/>
    <x v="0"/>
    <n v="0.01"/>
    <n v="0.01"/>
    <m/>
    <m/>
  </r>
  <r>
    <s v="14544138852489"/>
    <s v="2"/>
    <s v="CU"/>
    <s v=""/>
    <n v="12"/>
    <s v="SERVC"/>
    <s v="GRD-F051"/>
    <m/>
    <m/>
    <m/>
    <m/>
    <s v="FC000142"/>
    <s v="2"/>
    <s v="MU"/>
    <m/>
    <n v="12"/>
    <s v=""/>
    <s v="22130"/>
    <s v="Côtes d'Armor"/>
    <s v="Bretagne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14706656969382"/>
    <s v="2"/>
    <s v="CU"/>
    <s v=""/>
    <n v="12"/>
    <s v="SERVC"/>
    <s v="PROTOC-501"/>
    <m/>
    <m/>
    <m/>
    <m/>
    <s v="FC000032"/>
    <s v="2"/>
    <s v="MU"/>
    <m/>
    <n v="12"/>
    <s v=""/>
    <s v="29910"/>
    <s v="Finistère"/>
    <s v="Bretagne"/>
    <x v="0"/>
    <s v="LINKY"/>
    <n v="2"/>
    <b v="1"/>
    <b v="1"/>
    <b v="0"/>
    <b v="1"/>
    <b v="0"/>
    <b v="0"/>
    <x v="0"/>
    <x v="0"/>
    <n v="0.01"/>
    <n v="0.01"/>
    <m/>
    <m/>
  </r>
  <r>
    <s v="15591751061656"/>
    <s v="1"/>
    <s v="CU"/>
    <s v=""/>
    <n v="9"/>
    <s v="SERVC"/>
    <s v="GRD-F027"/>
    <m/>
    <m/>
    <m/>
    <m/>
    <s v="FC000044"/>
    <s v="2"/>
    <s v="CU"/>
    <m/>
    <n v="9"/>
    <s v=""/>
    <s v="87280"/>
    <s v="Haute-Vienne"/>
    <s v="Limousin"/>
    <x v="0"/>
    <s v="CBE"/>
    <n v="0"/>
    <b v="0"/>
    <b v="1"/>
    <b v="1"/>
    <b v="0"/>
    <b v="0"/>
    <b v="0"/>
    <x v="0"/>
    <x v="2"/>
    <n v="0.01"/>
    <n v="1"/>
    <m/>
    <s v="Changement de structure tarifaire sur compteur CBE"/>
  </r>
  <r>
    <s v="16165846545015"/>
    <s v="2"/>
    <s v="MU"/>
    <s v=""/>
    <n v="6"/>
    <s v="SERVC"/>
    <s v="GRD-F051"/>
    <m/>
    <m/>
    <m/>
    <m/>
    <s v="FC000142"/>
    <s v="2"/>
    <s v="MU"/>
    <m/>
    <n v="6"/>
    <s v=""/>
    <s v="33800"/>
    <s v="Gironde"/>
    <s v="Aquitai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6478147570520"/>
    <s v="1"/>
    <s v="CU"/>
    <s v=""/>
    <n v="6"/>
    <s v="SERVC"/>
    <s v="GRD-F006"/>
    <m/>
    <m/>
    <m/>
    <m/>
    <s v="FC000018"/>
    <s v="1"/>
    <s v="CU"/>
    <m/>
    <n v="6"/>
    <s v=""/>
    <s v="40465"/>
    <s v="Landes"/>
    <s v="Aquitaine"/>
    <x v="0"/>
    <s v="LINKY"/>
    <n v="2"/>
    <b v="1"/>
    <b v="1"/>
    <b v="0"/>
    <b v="0"/>
    <b v="0"/>
    <b v="0"/>
    <x v="0"/>
    <x v="0"/>
    <n v="0.01"/>
    <n v="0.01"/>
    <m/>
    <m/>
  </r>
  <r>
    <s v="17183646787958"/>
    <s v="2"/>
    <s v="MU"/>
    <s v=""/>
    <n v="9"/>
    <s v="SERVC"/>
    <s v="GRD-F051"/>
    <m/>
    <m/>
    <m/>
    <m/>
    <s v="FC000142"/>
    <s v="2"/>
    <s v="MU"/>
    <m/>
    <n v="9"/>
    <s v=""/>
    <s v="63000"/>
    <s v="Puy-de-Dôme"/>
    <s v="Auver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9117221256728"/>
    <s v="2"/>
    <s v="MU"/>
    <s v=""/>
    <n v="6"/>
    <s v="SERVC"/>
    <s v="GRD-F051"/>
    <m/>
    <m/>
    <m/>
    <m/>
    <s v="FC000142"/>
    <s v="2"/>
    <s v="MU"/>
    <m/>
    <n v="6"/>
    <s v=""/>
    <s v="69006"/>
    <s v="Rhône"/>
    <s v="Rhône-Alp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9140376265022"/>
    <s v="1"/>
    <s v="CU"/>
    <s v=""/>
    <n v="6"/>
    <s v="SERVC"/>
    <s v="PROTOC-501"/>
    <m/>
    <m/>
    <m/>
    <m/>
    <s v="FC000010"/>
    <s v="1"/>
    <s v="CU"/>
    <m/>
    <n v="6"/>
    <s v=""/>
    <s v="69006"/>
    <s v="Rhône"/>
    <s v="Rhône-Alpes"/>
    <x v="0"/>
    <s v="LINKY"/>
    <n v="2"/>
    <b v="1"/>
    <b v="1"/>
    <b v="0"/>
    <b v="0"/>
    <b v="0"/>
    <b v="0"/>
    <x v="0"/>
    <x v="0"/>
    <n v="0.01"/>
    <n v="0.01"/>
    <m/>
    <m/>
  </r>
  <r>
    <s v="19569609169156"/>
    <s v="2"/>
    <s v="MU"/>
    <s v=""/>
    <n v="9"/>
    <s v="SERVC"/>
    <s v="GRD-F051"/>
    <m/>
    <m/>
    <m/>
    <m/>
    <s v="FC000142"/>
    <s v="2"/>
    <s v="MU"/>
    <m/>
    <n v="9"/>
    <s v=""/>
    <s v="74100"/>
    <s v="Haute-Savoie"/>
    <s v="Rhône-Alp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9986975337177"/>
    <s v="1"/>
    <s v="CU"/>
    <s v=""/>
    <n v="6"/>
    <s v="SERVC"/>
    <s v="GRD-F006"/>
    <m/>
    <m/>
    <m/>
    <m/>
    <s v="FC000018"/>
    <s v="1"/>
    <s v="CU"/>
    <m/>
    <n v="6"/>
    <s v=""/>
    <s v="01000"/>
    <s v="Ain"/>
    <s v="Rhône-Alpes"/>
    <x v="0"/>
    <s v="LINKY"/>
    <n v="1"/>
    <b v="1"/>
    <b v="1"/>
    <b v="0"/>
    <b v="0"/>
    <b v="0"/>
    <b v="0"/>
    <x v="0"/>
    <x v="0"/>
    <n v="0.01"/>
    <n v="0.01"/>
    <m/>
    <m/>
  </r>
  <r>
    <s v="07321852338565"/>
    <s v="2"/>
    <s v="MU"/>
    <s v=""/>
    <n v="6"/>
    <s v="SERVC"/>
    <s v="GRD-F051"/>
    <m/>
    <m/>
    <m/>
    <m/>
    <s v="FC000142"/>
    <s v="2"/>
    <s v="MU"/>
    <m/>
    <n v="6"/>
    <s v=""/>
    <s v="75013"/>
    <s v="Par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53256065017"/>
    <s v="1"/>
    <s v="CU"/>
    <s v=""/>
    <n v="6"/>
    <s v="SERVC"/>
    <s v="GRD-F051"/>
    <m/>
    <m/>
    <m/>
    <m/>
    <s v="FC000147"/>
    <s v="1"/>
    <s v="CU"/>
    <m/>
    <n v="6"/>
    <s v=""/>
    <s v="4430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910564392213"/>
    <s v="2"/>
    <s v="MU"/>
    <s v=""/>
    <n v="12"/>
    <s v="SERVC"/>
    <s v="GRD-F051"/>
    <m/>
    <m/>
    <m/>
    <m/>
    <s v="FC000142"/>
    <s v="2"/>
    <s v="MU"/>
    <m/>
    <n v="12"/>
    <s v=""/>
    <s v="06410"/>
    <s v="Alpes-Maritimes"/>
    <s v="Provence-Alpes-Côte d'Azur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610853828480"/>
    <s v="2"/>
    <s v="MU"/>
    <s v=""/>
    <n v="12"/>
    <s v="SERVC"/>
    <s v="GRD-F051"/>
    <m/>
    <m/>
    <m/>
    <m/>
    <s v="FC000142"/>
    <s v="2"/>
    <s v="MU"/>
    <m/>
    <n v="12"/>
    <s v=""/>
    <s v="80540"/>
    <s v="Somme"/>
    <s v="Picar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58610519920"/>
    <s v="2"/>
    <s v="CU"/>
    <s v=""/>
    <n v="9"/>
    <s v="SERVC"/>
    <s v="GRD-F058"/>
    <m/>
    <m/>
    <m/>
    <m/>
    <s v="FC000166"/>
    <s v="2"/>
    <s v="MU"/>
    <m/>
    <n v="9"/>
    <s v=""/>
    <s v="44470"/>
    <s v="Loire-Atlantique"/>
    <s v="Pays-de-la-Loire"/>
    <x v="0"/>
    <s v="LINKY"/>
    <n v="2"/>
    <b v="1"/>
    <b v="1"/>
    <b v="0"/>
    <b v="1"/>
    <b v="0"/>
    <b v="0"/>
    <x v="0"/>
    <x v="0"/>
    <n v="0.01"/>
    <n v="0.01"/>
    <m/>
    <m/>
  </r>
  <r>
    <s v="21419970950094"/>
    <s v="1"/>
    <s v="CU"/>
    <s v=""/>
    <n v="6"/>
    <s v="SERVC"/>
    <s v="GRD-F051"/>
    <m/>
    <m/>
    <m/>
    <m/>
    <s v="FC000147"/>
    <s v="1"/>
    <s v="CU"/>
    <m/>
    <n v="6"/>
    <s v=""/>
    <s v="95240"/>
    <s v="Val-d'Ois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26">
  <r>
    <s v="09164544121954"/>
    <s v="1"/>
    <s v="CU"/>
    <s v=""/>
    <n v="12"/>
    <s v="SERVC"/>
    <s v="GRD-F006"/>
    <m/>
    <m/>
    <m/>
    <m/>
    <s v="FC000018"/>
    <s v="1"/>
    <s v="CU"/>
    <m/>
    <n v="12"/>
    <s v=""/>
    <s v="72160"/>
    <s v="Sarth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9780028911863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x v="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797539789041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x v="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388422484103"/>
    <s v="1"/>
    <s v="CU"/>
    <s v=""/>
    <n v="6"/>
    <s v="SERVC"/>
    <s v="GRD-F051"/>
    <m/>
    <m/>
    <m/>
    <m/>
    <s v="FC000147"/>
    <s v="1"/>
    <s v="CU"/>
    <m/>
    <n v="6"/>
    <s v=""/>
    <s v="59165"/>
    <s v="Nord"/>
    <x v="2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521418216821"/>
    <s v="2"/>
    <s v="CU"/>
    <s v=""/>
    <n v="12"/>
    <s v="SERVC"/>
    <s v="GRD-F051"/>
    <m/>
    <m/>
    <m/>
    <m/>
    <s v="FC000142"/>
    <s v="2"/>
    <s v="CU"/>
    <m/>
    <n v="12"/>
    <s v=""/>
    <s v="22190"/>
    <s v="Côtes d'Armor"/>
    <x v="3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635600576120"/>
    <s v="1"/>
    <s v="CU"/>
    <s v=""/>
    <n v="6"/>
    <s v="SERVC"/>
    <s v="PROTOC-501"/>
    <m/>
    <m/>
    <m/>
    <m/>
    <s v="FC000010"/>
    <s v="1"/>
    <s v="CU"/>
    <m/>
    <n v="6"/>
    <s v=""/>
    <s v="29200"/>
    <s v="Finistèr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21327062106150"/>
    <s v="2"/>
    <s v="MU"/>
    <s v=""/>
    <n v="9"/>
    <s v="SERVC"/>
    <s v="GRD-F051"/>
    <m/>
    <m/>
    <m/>
    <m/>
    <s v="FC000142"/>
    <s v="2"/>
    <s v="MU"/>
    <m/>
    <n v="9"/>
    <s v=""/>
    <s v="92130"/>
    <s v="Hauts-de-Sei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x v="5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22160202552029"/>
    <s v="2"/>
    <s v="MU"/>
    <s v=""/>
    <n v="18"/>
    <s v="SERVC"/>
    <s v="GRD-F027"/>
    <m/>
    <m/>
    <m/>
    <m/>
    <s v="FC000044"/>
    <s v="2"/>
    <s v="CU"/>
    <m/>
    <n v="18"/>
    <s v=""/>
    <s v="77510"/>
    <s v="Seine-et-Marne"/>
    <x v="4"/>
    <s v="GINKO"/>
    <s v="LINKY"/>
    <n v="2"/>
    <b v="1"/>
    <b v="1"/>
    <b v="0"/>
    <b v="1"/>
    <b v="0"/>
    <b v="0"/>
    <s v="F130B"/>
    <s v="Téléopération"/>
    <n v="0.01"/>
    <n v="0.01"/>
    <m/>
    <m/>
  </r>
  <r>
    <s v="22290159137484"/>
    <s v="1"/>
    <s v="CU"/>
    <s v=""/>
    <n v="9"/>
    <s v="SERVC"/>
    <s v="GRD-F006"/>
    <m/>
    <m/>
    <m/>
    <m/>
    <s v="FC000018"/>
    <s v="1"/>
    <s v="CU"/>
    <m/>
    <n v="9"/>
    <s v=""/>
    <s v="91120"/>
    <s v="Essonne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2575976781746"/>
    <s v="2"/>
    <s v="MU"/>
    <s v=""/>
    <n v="6"/>
    <s v="SERVC"/>
    <s v="GRD-F051"/>
    <m/>
    <m/>
    <m/>
    <m/>
    <s v="FC000142"/>
    <s v="2"/>
    <s v="MU"/>
    <m/>
    <n v="6"/>
    <s v=""/>
    <s v="93600"/>
    <s v="Seine-St-Den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3538060764251"/>
    <s v="1"/>
    <s v="CU"/>
    <s v=""/>
    <n v="6"/>
    <s v="SERVC"/>
    <s v="PROTOC-501"/>
    <m/>
    <m/>
    <m/>
    <m/>
    <s v="FC000010"/>
    <s v="1"/>
    <s v="CU"/>
    <m/>
    <n v="6"/>
    <s v=""/>
    <s v="12000"/>
    <s v="Aveyron"/>
    <x v="6"/>
    <s v="GINKO"/>
    <s v="LINKY"/>
    <n v="2"/>
    <b v="1"/>
    <b v="1"/>
    <b v="0"/>
    <b v="0"/>
    <b v="0"/>
    <b v="0"/>
    <s v="F130B"/>
    <s v="Téléopération"/>
    <n v="0.01"/>
    <n v="0.01"/>
    <m/>
    <m/>
  </r>
  <r>
    <s v="24341099817969"/>
    <s v="1"/>
    <s v="CU"/>
    <s v=""/>
    <n v="6"/>
    <s v="SERVC"/>
    <s v="GRD-F051"/>
    <m/>
    <m/>
    <m/>
    <m/>
    <s v="FC000147"/>
    <s v="1"/>
    <s v="CU"/>
    <m/>
    <n v="6"/>
    <s v=""/>
    <s v="34430"/>
    <s v="Hérault"/>
    <x v="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570188123872"/>
    <s v="1"/>
    <s v="CU"/>
    <s v=""/>
    <n v="6"/>
    <s v="SERVC"/>
    <s v="GRD-F001"/>
    <m/>
    <m/>
    <m/>
    <m/>
    <s v="FC000063"/>
    <s v="1"/>
    <s v="CU"/>
    <m/>
    <n v="6"/>
    <s v=""/>
    <s v="30000"/>
    <s v="Gard"/>
    <x v="7"/>
    <s v="GINKO"/>
    <s v="LINKY"/>
    <n v="2"/>
    <b v="1"/>
    <b v="1"/>
    <b v="0"/>
    <b v="0"/>
    <b v="0"/>
    <b v="0"/>
    <s v="F130B"/>
    <s v="Téléopération"/>
    <n v="0.01"/>
    <n v="0.01"/>
    <m/>
    <m/>
  </r>
  <r>
    <s v="01328943557999"/>
    <s v="1"/>
    <s v="CU"/>
    <s v=""/>
    <n v="6"/>
    <s v="SERVC"/>
    <s v="GRD-F044"/>
    <m/>
    <m/>
    <m/>
    <m/>
    <s v="FC000123"/>
    <s v="1"/>
    <s v="CU"/>
    <m/>
    <n v="6"/>
    <s v=""/>
    <s v="62210"/>
    <s v="Pas-de-Calais"/>
    <x v="2"/>
    <s v="GINKO"/>
    <s v="LINKY"/>
    <n v="2"/>
    <b v="1"/>
    <b v="1"/>
    <b v="0"/>
    <b v="0"/>
    <b v="0"/>
    <b v="0"/>
    <s v="F130B"/>
    <s v="Téléopération"/>
    <n v="0.01"/>
    <n v="0.01"/>
    <m/>
    <m/>
  </r>
  <r>
    <s v="14229377680778"/>
    <s v="1"/>
    <s v="CU"/>
    <s v=""/>
    <n v="9"/>
    <s v="SERVC"/>
    <s v="GRD-F051"/>
    <m/>
    <m/>
    <m/>
    <m/>
    <s v="FC000147"/>
    <s v="1"/>
    <s v="CU"/>
    <m/>
    <n v="9"/>
    <s v=""/>
    <s v="4480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54703220809"/>
    <s v="1"/>
    <s v="CU"/>
    <s v=""/>
    <n v="6"/>
    <s v="SERVC"/>
    <s v="GRD-F051"/>
    <m/>
    <m/>
    <m/>
    <m/>
    <s v="FC000147"/>
    <s v="1"/>
    <s v="CU"/>
    <m/>
    <n v="6"/>
    <s v=""/>
    <s v="4470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82199669190"/>
    <s v="2"/>
    <s v="MU"/>
    <s v=""/>
    <n v="12"/>
    <s v="SERVC"/>
    <s v="GRD-F051"/>
    <m/>
    <m/>
    <m/>
    <m/>
    <s v="FC000142"/>
    <s v="2"/>
    <s v="MU"/>
    <m/>
    <n v="12"/>
    <s v=""/>
    <s v="4462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1241099744510"/>
    <s v="1"/>
    <s v="CU"/>
    <s v=""/>
    <n v="6"/>
    <s v="SERVC"/>
    <s v="GRD-F006"/>
    <m/>
    <m/>
    <m/>
    <m/>
    <s v="FC000018"/>
    <s v="1"/>
    <s v="CU"/>
    <m/>
    <n v="6"/>
    <s v=""/>
    <s v="78710"/>
    <s v="Yvelines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1357742276207"/>
    <s v="1"/>
    <s v="CU"/>
    <s v=""/>
    <n v="9"/>
    <s v="SERVC"/>
    <s v="GRD-F006"/>
    <m/>
    <m/>
    <m/>
    <m/>
    <s v="FC000018"/>
    <s v="1"/>
    <s v="CU"/>
    <m/>
    <n v="9"/>
    <s v=""/>
    <s v="92370"/>
    <s v="Hauts-de-Seine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x v="5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22141244538777"/>
    <s v="2"/>
    <s v="MU"/>
    <s v=""/>
    <n v="12"/>
    <s v="SERVC"/>
    <s v="GRD-F051"/>
    <m/>
    <m/>
    <m/>
    <m/>
    <s v="FC000142"/>
    <s v="2"/>
    <s v="MU"/>
    <m/>
    <n v="12"/>
    <s v=""/>
    <s v="77170"/>
    <s v="Seine-et-Mar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2272503584475"/>
    <s v="1"/>
    <s v="CU"/>
    <s v=""/>
    <n v="6"/>
    <s v="SERVC"/>
    <s v="GRD-F006"/>
    <m/>
    <m/>
    <m/>
    <m/>
    <s v="FC000018"/>
    <s v="1"/>
    <s v="CU"/>
    <m/>
    <n v="6"/>
    <s v=""/>
    <s v="91280"/>
    <s v="Essonne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2296526753898"/>
    <s v="2"/>
    <s v="CU"/>
    <s v=""/>
    <n v="9"/>
    <s v="SERVC"/>
    <s v="GRD-F051"/>
    <m/>
    <m/>
    <m/>
    <m/>
    <s v="FC000142"/>
    <s v="2"/>
    <s v="CU"/>
    <m/>
    <n v="9"/>
    <s v=""/>
    <s v="91140"/>
    <s v="Esson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2297105602548"/>
    <s v="2"/>
    <s v="MU"/>
    <s v=""/>
    <n v="15"/>
    <s v="SERVC"/>
    <s v="GRD-F051"/>
    <m/>
    <m/>
    <m/>
    <m/>
    <s v="FC000142"/>
    <s v="2"/>
    <s v="MU"/>
    <m/>
    <n v="15"/>
    <s v=""/>
    <s v="91450"/>
    <s v="Esson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4115629490508"/>
    <s v="1"/>
    <s v="CU"/>
    <s v=""/>
    <n v="6"/>
    <s v="SERVC"/>
    <s v="GRD-F051"/>
    <m/>
    <m/>
    <m/>
    <m/>
    <s v="FC000147"/>
    <s v="1"/>
    <s v="CU"/>
    <m/>
    <n v="6"/>
    <s v=""/>
    <s v="02200"/>
    <s v="Aisne"/>
    <x v="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367438429128"/>
    <s v="2"/>
    <s v="MU"/>
    <s v=""/>
    <n v="6"/>
    <s v="SERVC"/>
    <s v="GRD-F051"/>
    <m/>
    <m/>
    <m/>
    <m/>
    <s v="FC000142"/>
    <s v="2"/>
    <s v="MU"/>
    <m/>
    <n v="6"/>
    <s v=""/>
    <s v="34000"/>
    <s v="Hérault"/>
    <x v="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111432587884"/>
    <s v="1"/>
    <s v="CU"/>
    <s v=""/>
    <n v="6"/>
    <s v="SERVC"/>
    <s v="GRD-F051"/>
    <m/>
    <m/>
    <m/>
    <m/>
    <s v="FC000147"/>
    <s v="1"/>
    <s v="CU"/>
    <m/>
    <n v="6"/>
    <s v=""/>
    <s v="13009"/>
    <s v="Bouches du Rhône"/>
    <x v="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283791528239"/>
    <s v="2"/>
    <s v="CU"/>
    <s v=""/>
    <n v="9"/>
    <s v="SERVC"/>
    <s v="PROTOC-501"/>
    <m/>
    <m/>
    <m/>
    <m/>
    <s v="FC000032"/>
    <s v="2"/>
    <s v="MU"/>
    <m/>
    <n v="9"/>
    <s v=""/>
    <s v="13090"/>
    <s v="Bouches du Rhône"/>
    <x v="8"/>
    <s v="GINKO"/>
    <s v="LINKY"/>
    <n v="2"/>
    <b v="1"/>
    <b v="1"/>
    <b v="0"/>
    <b v="1"/>
    <b v="0"/>
    <b v="0"/>
    <s v="F130B"/>
    <s v="Téléopération"/>
    <n v="0.01"/>
    <n v="0.01"/>
    <m/>
    <m/>
  </r>
  <r>
    <s v="04302315456404"/>
    <s v="1"/>
    <s v="CU"/>
    <s v=""/>
    <n v="6"/>
    <s v="SERVC"/>
    <s v="GRD-F051"/>
    <m/>
    <m/>
    <m/>
    <m/>
    <s v="FC000147"/>
    <s v="1"/>
    <s v="CU"/>
    <m/>
    <n v="6"/>
    <s v=""/>
    <s v="51100"/>
    <s v="Marne"/>
    <x v="9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5130969555220"/>
    <s v="2"/>
    <s v="MU"/>
    <s v=""/>
    <n v="6"/>
    <s v="SERVC"/>
    <s v="GRD-F051"/>
    <m/>
    <m/>
    <m/>
    <m/>
    <s v="FC000142"/>
    <s v="2"/>
    <s v="MU"/>
    <m/>
    <n v="6"/>
    <s v=""/>
    <s v="54500"/>
    <s v="Meurthe-et-Moselle"/>
    <x v="1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5186975397891"/>
    <s v="1"/>
    <s v="CU"/>
    <s v=""/>
    <n v="9"/>
    <s v="SERVC"/>
    <s v="GRD-F051"/>
    <m/>
    <m/>
    <m/>
    <m/>
    <s v="FC000142"/>
    <s v="2"/>
    <s v="MU4"/>
    <m/>
    <n v="6"/>
    <s v=""/>
    <s v="54110"/>
    <s v="Meurthe-et-Moselle"/>
    <x v="10"/>
    <s v="GINKO"/>
    <s v="LINKY"/>
    <n v="2"/>
    <b v="1"/>
    <b v="0"/>
    <b v="1"/>
    <b v="1"/>
    <b v="0"/>
    <b v="1"/>
    <s v="Non recevable"/>
    <s v="NA"/>
    <n v="0"/>
    <n v="0"/>
    <s v="Le contrat cible et le contrat source sont identiques"/>
    <m/>
  </r>
  <r>
    <s v="05410998508420"/>
    <s v="1"/>
    <s v="CU"/>
    <s v=""/>
    <n v="6"/>
    <s v="SERVC"/>
    <s v="GRD-F006"/>
    <m/>
    <m/>
    <m/>
    <m/>
    <s v="FC000018"/>
    <s v="1"/>
    <s v="CU"/>
    <m/>
    <n v="6"/>
    <s v=""/>
    <s v="88100"/>
    <s v="Vosges"/>
    <x v="10"/>
    <s v="GINKO"/>
    <s v="LINKY"/>
    <n v="2"/>
    <b v="1"/>
    <b v="1"/>
    <b v="0"/>
    <b v="0"/>
    <b v="0"/>
    <b v="0"/>
    <s v="F130B"/>
    <s v="Téléopération"/>
    <n v="0.01"/>
    <n v="0.01"/>
    <m/>
    <m/>
  </r>
  <r>
    <s v="06305354513287"/>
    <s v="1"/>
    <s v="CU"/>
    <s v=""/>
    <n v="6"/>
    <s v="SERVC"/>
    <s v="GRD-F051"/>
    <m/>
    <m/>
    <m/>
    <m/>
    <s v="FC000147"/>
    <s v="1"/>
    <s v="CU"/>
    <m/>
    <n v="6"/>
    <s v=""/>
    <s v="68260"/>
    <s v="Haut-Rhin"/>
    <x v="1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6537047747086"/>
    <s v="2"/>
    <s v="CU"/>
    <s v=""/>
    <n v="6"/>
    <s v="SERVC"/>
    <s v="GRD-F062"/>
    <m/>
    <m/>
    <m/>
    <m/>
    <s v="FC000178"/>
    <s v="2"/>
    <s v="MU"/>
    <m/>
    <n v="6"/>
    <s v=""/>
    <s v="25000"/>
    <s v="Doubs"/>
    <x v="12"/>
    <s v="GINKO"/>
    <s v="LINKY"/>
    <n v="2"/>
    <b v="1"/>
    <b v="1"/>
    <b v="0"/>
    <b v="1"/>
    <b v="0"/>
    <b v="0"/>
    <s v="F130B"/>
    <s v="Téléopération"/>
    <n v="0.01"/>
    <n v="0.01"/>
    <m/>
    <m/>
  </r>
  <r>
    <s v="07238205427113"/>
    <s v="2"/>
    <s v="CU"/>
    <s v=""/>
    <n v="12"/>
    <s v="SERVC"/>
    <s v="GRD-F051"/>
    <m/>
    <m/>
    <m/>
    <m/>
    <s v="FC000142"/>
    <s v="2"/>
    <s v="CU"/>
    <m/>
    <n v="12"/>
    <s v=""/>
    <s v="75011"/>
    <s v="Par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327930534139"/>
    <s v="2"/>
    <s v="MU"/>
    <s v=""/>
    <n v="12"/>
    <s v="SERVC"/>
    <s v="GRD-F027"/>
    <m/>
    <m/>
    <m/>
    <m/>
    <s v="FC000044"/>
    <s v="2"/>
    <s v="MU"/>
    <m/>
    <n v="12"/>
    <s v=""/>
    <s v="85750"/>
    <s v="Vendé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14419970954350"/>
    <s v="2"/>
    <s v="MU"/>
    <s v=""/>
    <n v="6"/>
    <s v="SERVC"/>
    <s v="PROTOC-501"/>
    <m/>
    <m/>
    <m/>
    <m/>
    <s v="FC000032"/>
    <s v="2"/>
    <s v="MU"/>
    <m/>
    <n v="6"/>
    <s v=""/>
    <s v="35480"/>
    <s v="Ille-et-Vilain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4489001381437"/>
    <s v="1"/>
    <s v="CU"/>
    <s v=""/>
    <n v="6"/>
    <s v="SERVC"/>
    <s v="GRD-F027"/>
    <m/>
    <m/>
    <m/>
    <m/>
    <s v="FC000022"/>
    <s v="1"/>
    <s v="CU"/>
    <m/>
    <n v="6"/>
    <s v=""/>
    <s v="35370"/>
    <s v="Ille-et-Vilain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01535889989399"/>
    <s v="2"/>
    <s v="MU"/>
    <s v=""/>
    <n v="6"/>
    <s v="SERVC"/>
    <s v="GRD-F006"/>
    <m/>
    <m/>
    <m/>
    <m/>
    <s v="FC000040"/>
    <s v="2"/>
    <s v="MU"/>
    <m/>
    <n v="6"/>
    <s v=""/>
    <s v="59495"/>
    <s v="Nord"/>
    <x v="2"/>
    <s v="GINKO"/>
    <s v="LINKY"/>
    <n v="2"/>
    <b v="1"/>
    <b v="1"/>
    <b v="0"/>
    <b v="0"/>
    <b v="0"/>
    <b v="0"/>
    <s v="F130B"/>
    <s v="Téléopération"/>
    <n v="0.01"/>
    <n v="0.01"/>
    <m/>
    <m/>
  </r>
  <r>
    <s v="14640086780989"/>
    <s v="1"/>
    <s v="CU"/>
    <s v=""/>
    <n v="6"/>
    <s v="SERVC"/>
    <s v="GRD-F003"/>
    <m/>
    <m/>
    <m/>
    <m/>
    <s v="FC000010"/>
    <s v="1"/>
    <s v="CU"/>
    <m/>
    <n v="6"/>
    <s v=""/>
    <s v="29200"/>
    <s v="Finistèr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4807235857727"/>
    <s v="2"/>
    <s v="MU"/>
    <s v=""/>
    <n v="9"/>
    <s v="SERVC"/>
    <s v="PROTOC-501"/>
    <m/>
    <m/>
    <m/>
    <m/>
    <s v="FC000032"/>
    <s v="2"/>
    <s v="MU"/>
    <m/>
    <n v="9"/>
    <s v=""/>
    <s v="56750"/>
    <s v="Morbihan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5253979656309"/>
    <s v="2"/>
    <s v="MU"/>
    <s v=""/>
    <n v="9"/>
    <s v="SERVC"/>
    <s v="PROTOC-501"/>
    <m/>
    <m/>
    <m/>
    <m/>
    <s v="FC000032"/>
    <s v="2"/>
    <s v="MU"/>
    <m/>
    <n v="9"/>
    <s v=""/>
    <s v="17320"/>
    <s v="Charente Maritime"/>
    <x v="13"/>
    <s v="GINKO"/>
    <s v="LINKY"/>
    <n v="2"/>
    <b v="1"/>
    <b v="1"/>
    <b v="0"/>
    <b v="0"/>
    <b v="0"/>
    <b v="0"/>
    <s v="F130B"/>
    <s v="Téléopération"/>
    <n v="0.01"/>
    <n v="0.01"/>
    <m/>
    <m/>
  </r>
  <r>
    <s v="17115774224342"/>
    <s v="1"/>
    <s v="CU"/>
    <s v=""/>
    <n v="6"/>
    <s v="SERVC"/>
    <s v="GRD-F051"/>
    <m/>
    <m/>
    <m/>
    <m/>
    <s v="FC000147"/>
    <s v="1"/>
    <s v="CU"/>
    <m/>
    <n v="6"/>
    <s v=""/>
    <s v="63115"/>
    <s v="Puy-de-Dôme"/>
    <x v="1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7183357354401"/>
    <s v="2"/>
    <s v="CU"/>
    <s v=""/>
    <n v="9"/>
    <s v="SERVC"/>
    <s v="GRD-F051"/>
    <m/>
    <m/>
    <m/>
    <m/>
    <s v="FC000142"/>
    <s v="2"/>
    <s v="MU"/>
    <m/>
    <n v="9"/>
    <s v=""/>
    <s v="63200"/>
    <s v="Puy-de-Dôme"/>
    <x v="14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19467149014458"/>
    <s v="1"/>
    <s v="CU"/>
    <s v=""/>
    <n v="18"/>
    <s v="SERVC"/>
    <s v="GRD-F051"/>
    <m/>
    <m/>
    <m/>
    <m/>
    <s v="FC000147"/>
    <s v="1"/>
    <s v="CU"/>
    <m/>
    <n v="18"/>
    <s v=""/>
    <s v="69290"/>
    <s v="Rhône"/>
    <x v="1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9786107074902"/>
    <s v="1"/>
    <s v="CU"/>
    <s v=""/>
    <n v="9"/>
    <s v="SERVC"/>
    <s v="GRD-F006"/>
    <m/>
    <m/>
    <m/>
    <m/>
    <s v="FC000018"/>
    <s v="1"/>
    <s v="CU"/>
    <m/>
    <n v="9"/>
    <s v=""/>
    <s v="26200"/>
    <s v="Drôme"/>
    <x v="15"/>
    <s v="GINKO"/>
    <s v="LINKY"/>
    <n v="2"/>
    <b v="1"/>
    <b v="1"/>
    <b v="0"/>
    <b v="0"/>
    <b v="0"/>
    <b v="0"/>
    <s v="F130B"/>
    <s v="Téléopération"/>
    <n v="0.01"/>
    <n v="0.01"/>
    <m/>
    <m/>
  </r>
  <r>
    <s v="19882633840580"/>
    <s v="1"/>
    <s v="CU"/>
    <s v=""/>
    <n v="6"/>
    <s v="SERVC"/>
    <s v="GRD-F051"/>
    <m/>
    <m/>
    <m/>
    <m/>
    <s v="FC000147"/>
    <s v="1"/>
    <s v="CU"/>
    <m/>
    <n v="6"/>
    <s v=""/>
    <s v="42650"/>
    <s v="Loire"/>
    <x v="1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2165846586613"/>
    <s v="2"/>
    <s v="MU"/>
    <s v=""/>
    <n v="9"/>
    <s v="SERVC"/>
    <s v="GRD-F051"/>
    <m/>
    <m/>
    <m/>
    <m/>
    <s v="FC000142"/>
    <s v="2"/>
    <s v="MU"/>
    <m/>
    <n v="9"/>
    <s v=""/>
    <s v="76800"/>
    <s v="Seine-Maritime"/>
    <x v="16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2432561503494"/>
    <s v="1"/>
    <s v="CU"/>
    <s v=""/>
    <n v="6"/>
    <s v="SERVC"/>
    <s v="GRD-F051"/>
    <m/>
    <m/>
    <m/>
    <m/>
    <s v="FC000147"/>
    <s v="1"/>
    <s v="CU"/>
    <m/>
    <n v="6"/>
    <s v=""/>
    <s v="14000"/>
    <s v="Calvados"/>
    <x v="1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506078044860"/>
    <s v="1"/>
    <s v="CU"/>
    <s v=""/>
    <n v="9"/>
    <s v="SERVC"/>
    <s v="GRD-F051"/>
    <m/>
    <m/>
    <m/>
    <m/>
    <s v="FC000147"/>
    <s v="1"/>
    <s v="CU"/>
    <m/>
    <n v="9"/>
    <s v=""/>
    <s v="34160"/>
    <s v="Hérault"/>
    <x v="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528075197635"/>
    <s v="1"/>
    <s v="CU"/>
    <s v=""/>
    <n v="9"/>
    <s v="SERVC"/>
    <s v="GRD-F006"/>
    <m/>
    <m/>
    <m/>
    <m/>
    <s v="FC000018"/>
    <s v="1"/>
    <s v="CU"/>
    <m/>
    <n v="9"/>
    <s v=""/>
    <s v="30900"/>
    <s v="Gard"/>
    <x v="7"/>
    <s v="GINKO"/>
    <s v="LINKY"/>
    <n v="2"/>
    <b v="1"/>
    <b v="1"/>
    <b v="0"/>
    <b v="0"/>
    <b v="0"/>
    <b v="0"/>
    <s v="F130B"/>
    <s v="Téléopération"/>
    <n v="0.01"/>
    <n v="0.01"/>
    <m/>
    <m/>
  </r>
  <r>
    <s v="25348769848340"/>
    <s v="1"/>
    <s v="CU"/>
    <s v=""/>
    <n v="6"/>
    <s v="SERVC"/>
    <s v="GRD-F051"/>
    <m/>
    <m/>
    <m/>
    <m/>
    <s v="FC000147"/>
    <s v="1"/>
    <s v="CU"/>
    <m/>
    <n v="6"/>
    <s v=""/>
    <s v="83130"/>
    <s v="Var"/>
    <x v="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922865364821"/>
    <s v="1"/>
    <s v="CU"/>
    <s v=""/>
    <n v="3"/>
    <s v="SERVC"/>
    <s v="PROTOC-501"/>
    <m/>
    <m/>
    <m/>
    <m/>
    <s v="FC000010"/>
    <s v="1"/>
    <s v="CU"/>
    <m/>
    <n v="18"/>
    <s v=""/>
    <s v="06130"/>
    <s v="Alpes-Maritimes"/>
    <x v="8"/>
    <s v="GINKO"/>
    <s v="CBE"/>
    <n v="0"/>
    <b v="0"/>
    <b v="1"/>
    <b v="0"/>
    <b v="0"/>
    <b v="0"/>
    <b v="1"/>
    <s v="F130B"/>
    <s v="Déplacement sur site"/>
    <n v="0.01"/>
    <n v="1"/>
    <m/>
    <s v="Changement de structure tarifaire sur compteur CBE"/>
  </r>
  <r>
    <s v="04328798808850"/>
    <s v="1"/>
    <s v="CU"/>
    <s v=""/>
    <n v="6"/>
    <s v="SERVC"/>
    <s v="GRD-F051"/>
    <m/>
    <m/>
    <m/>
    <m/>
    <s v="FC000147"/>
    <s v="1"/>
    <s v="CU"/>
    <m/>
    <n v="6"/>
    <s v=""/>
    <s v="51370"/>
    <s v="Marne"/>
    <x v="9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5201591875504"/>
    <s v="2"/>
    <s v="MU"/>
    <s v=""/>
    <n v="6"/>
    <s v="SERVC"/>
    <s v="GRD-F027"/>
    <m/>
    <m/>
    <m/>
    <m/>
    <s v="FC000044"/>
    <s v="2"/>
    <s v="MU"/>
    <m/>
    <n v="6"/>
    <s v=""/>
    <s v="55500"/>
    <s v="Meuse"/>
    <x v="10"/>
    <s v="GINKO"/>
    <s v="LINKY"/>
    <n v="2"/>
    <b v="1"/>
    <b v="1"/>
    <b v="0"/>
    <b v="0"/>
    <b v="0"/>
    <b v="0"/>
    <s v="F130B"/>
    <s v="Téléopération"/>
    <n v="0.01"/>
    <n v="0.01"/>
    <m/>
    <m/>
  </r>
  <r>
    <s v="05282633852284"/>
    <s v="2"/>
    <s v="CU"/>
    <s v=""/>
    <n v="12"/>
    <s v="SERVC"/>
    <s v="PROTOC-501"/>
    <m/>
    <m/>
    <m/>
    <m/>
    <s v="FC000032"/>
    <s v="2"/>
    <s v="MU4"/>
    <m/>
    <n v="12"/>
    <s v=""/>
    <s v="52000"/>
    <s v="Haute-Marne"/>
    <x v="9"/>
    <s v="GINKO"/>
    <s v="LINKY"/>
    <n v="2"/>
    <b v="1"/>
    <b v="1"/>
    <b v="0"/>
    <b v="1"/>
    <b v="0"/>
    <b v="0"/>
    <s v="F130B"/>
    <s v="Téléopération"/>
    <n v="0.01"/>
    <n v="0.01"/>
    <m/>
    <m/>
  </r>
  <r>
    <s v="05520115707256"/>
    <s v="1"/>
    <s v="CU"/>
    <s v=""/>
    <n v="6"/>
    <s v="SERVC"/>
    <s v="GRD-F051"/>
    <m/>
    <m/>
    <m/>
    <m/>
    <s v="FC000147"/>
    <s v="1"/>
    <s v="CU"/>
    <m/>
    <n v="6"/>
    <s v=""/>
    <s v="57220"/>
    <s v="Moselle"/>
    <x v="1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6321852327986"/>
    <s v="2"/>
    <s v="MU"/>
    <s v=""/>
    <n v="15"/>
    <s v="SERVC"/>
    <s v="PROTOC-501"/>
    <m/>
    <m/>
    <m/>
    <m/>
    <s v="FC000032"/>
    <s v="2"/>
    <s v="MU"/>
    <m/>
    <n v="15"/>
    <s v=""/>
    <s v="68970"/>
    <s v="Haut-Rhin"/>
    <x v="11"/>
    <s v="GINKO"/>
    <s v="LINKY"/>
    <n v="2"/>
    <b v="1"/>
    <b v="1"/>
    <b v="0"/>
    <b v="0"/>
    <b v="0"/>
    <b v="0"/>
    <s v="F130B"/>
    <s v="Téléopération"/>
    <n v="0.01"/>
    <n v="0.01"/>
    <m/>
    <m/>
  </r>
  <r>
    <s v="24503039046820"/>
    <s v="1"/>
    <s v="CU"/>
    <s v=""/>
    <n v="6"/>
    <s v="SERVC"/>
    <s v="GRD-F006"/>
    <m/>
    <m/>
    <m/>
    <m/>
    <s v="FC000018"/>
    <s v="1"/>
    <s v="CU"/>
    <m/>
    <n v="6"/>
    <s v=""/>
    <s v="30900"/>
    <s v="Gard"/>
    <x v="7"/>
    <s v="GINKO"/>
    <s v="LINKY"/>
    <n v="2"/>
    <b v="1"/>
    <b v="1"/>
    <b v="0"/>
    <b v="0"/>
    <b v="0"/>
    <b v="0"/>
    <s v="F130B"/>
    <s v="Téléopération"/>
    <n v="0.01"/>
    <n v="0.01"/>
    <m/>
    <m/>
  </r>
  <r>
    <s v="04230390720150"/>
    <s v="2"/>
    <s v="MU"/>
    <s v=""/>
    <n v="9"/>
    <s v="SERVC"/>
    <s v="GRD-F051"/>
    <m/>
    <m/>
    <m/>
    <m/>
    <s v="FC000142"/>
    <s v="2"/>
    <s v="MU"/>
    <m/>
    <n v="9"/>
    <s v=""/>
    <s v="08000"/>
    <s v="Ardennes"/>
    <x v="9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159478956441"/>
    <s v="2"/>
    <s v="CU"/>
    <s v=""/>
    <n v="9"/>
    <s v="SERVC"/>
    <s v="GRD-F027"/>
    <m/>
    <m/>
    <m/>
    <m/>
    <s v="FC000044"/>
    <s v="2"/>
    <s v="MU"/>
    <m/>
    <n v="9"/>
    <s v=""/>
    <s v="13013"/>
    <s v="Bouches du Rhône"/>
    <x v="8"/>
    <s v="GINKO"/>
    <s v="LINKY"/>
    <n v="2"/>
    <b v="1"/>
    <b v="1"/>
    <b v="0"/>
    <b v="1"/>
    <b v="0"/>
    <b v="0"/>
    <s v="F130B"/>
    <s v="Téléopération"/>
    <n v="0.01"/>
    <n v="0.01"/>
    <m/>
    <m/>
  </r>
  <r>
    <s v="25479015895687"/>
    <s v="2"/>
    <s v="CU"/>
    <s v=""/>
    <n v="6"/>
    <s v="SERVC"/>
    <s v="GRD-F051"/>
    <m/>
    <m/>
    <m/>
    <m/>
    <s v="FC000142"/>
    <s v="2"/>
    <s v="CU"/>
    <m/>
    <n v="6"/>
    <s v=""/>
    <s v="06500"/>
    <s v="Alpes-Maritimes"/>
    <x v="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5131548466509"/>
    <s v="1"/>
    <s v="CU"/>
    <s v=""/>
    <n v="6"/>
    <s v="SERVC"/>
    <s v="GRD-F051"/>
    <m/>
    <m/>
    <m/>
    <m/>
    <s v="FC000147"/>
    <s v="1"/>
    <s v="CU"/>
    <m/>
    <n v="6"/>
    <s v=""/>
    <s v="54250"/>
    <s v="Meurthe-et-Moselle"/>
    <x v="1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233719188108"/>
    <s v="1"/>
    <s v="CU"/>
    <s v=""/>
    <n v="6"/>
    <s v="SERVC"/>
    <s v="GRD-F027"/>
    <m/>
    <m/>
    <m/>
    <m/>
    <s v="FC000022"/>
    <s v="1"/>
    <s v="CU"/>
    <m/>
    <n v="6"/>
    <s v=""/>
    <s v="59300"/>
    <s v="Nord"/>
    <x v="2"/>
    <s v="GINKO"/>
    <s v="LINKY"/>
    <n v="2"/>
    <b v="1"/>
    <b v="1"/>
    <b v="0"/>
    <b v="0"/>
    <b v="0"/>
    <b v="0"/>
    <s v="F130B"/>
    <s v="Téléopération"/>
    <n v="0.01"/>
    <n v="0.01"/>
    <m/>
    <m/>
  </r>
  <r>
    <s v="07181765502251"/>
    <s v="2"/>
    <s v="MU"/>
    <s v=""/>
    <n v="6"/>
    <s v="SERVC"/>
    <s v="GRD-F051"/>
    <m/>
    <m/>
    <m/>
    <m/>
    <s v="FC000142"/>
    <s v="2"/>
    <s v="MU"/>
    <m/>
    <n v="6"/>
    <s v=""/>
    <s v="75010"/>
    <s v="Par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246020233334"/>
    <s v="1"/>
    <s v="CU"/>
    <s v=""/>
    <n v="9"/>
    <s v="SERVC"/>
    <s v="GRD-F027"/>
    <m/>
    <m/>
    <m/>
    <m/>
    <s v="FC000022"/>
    <s v="1"/>
    <s v="CU"/>
    <m/>
    <n v="9"/>
    <s v=""/>
    <s v="59300"/>
    <s v="Nord"/>
    <x v="2"/>
    <s v="GINKO"/>
    <s v="LINKY"/>
    <n v="2"/>
    <b v="1"/>
    <b v="1"/>
    <b v="0"/>
    <b v="0"/>
    <b v="0"/>
    <b v="0"/>
    <s v="F130B"/>
    <s v="Téléopération"/>
    <n v="0.01"/>
    <n v="0.01"/>
    <m/>
    <m/>
  </r>
  <r>
    <s v="09535600521688"/>
    <s v="2"/>
    <s v="MU"/>
    <s v=""/>
    <n v="6"/>
    <s v="SERVC"/>
    <s v="GRD-F027"/>
    <m/>
    <m/>
    <m/>
    <m/>
    <s v="FC000044"/>
    <s v="2"/>
    <s v="MU"/>
    <m/>
    <n v="6"/>
    <s v=""/>
    <s v="45000"/>
    <s v="Loiret"/>
    <x v="1"/>
    <s v="GINKO"/>
    <s v="LINKY"/>
    <n v="1"/>
    <b v="1"/>
    <b v="1"/>
    <b v="0"/>
    <b v="0"/>
    <b v="0"/>
    <b v="0"/>
    <s v="F130B"/>
    <s v="Téléopération"/>
    <n v="0.01"/>
    <n v="0.01"/>
    <m/>
    <m/>
  </r>
  <r>
    <s v="12108104179215"/>
    <s v="1"/>
    <s v="CU"/>
    <s v=""/>
    <n v="9"/>
    <s v="SERVC"/>
    <s v="GRD-F051"/>
    <m/>
    <m/>
    <m/>
    <m/>
    <s v="FC000142"/>
    <s v="2"/>
    <s v="MU"/>
    <m/>
    <n v="9"/>
    <s v=""/>
    <s v="71110"/>
    <s v="Saône-et-Loire"/>
    <x v="18"/>
    <s v="GINKO"/>
    <s v="CBE"/>
    <n v="0"/>
    <b v="0"/>
    <b v="0"/>
    <b v="1"/>
    <b v="1"/>
    <b v="0"/>
    <b v="0"/>
    <s v="Non recevable"/>
    <s v="NA"/>
    <n v="0"/>
    <n v="0"/>
    <s v="Le contrat cible et le contrat source sont identiques"/>
    <m/>
  </r>
  <r>
    <s v="12137771284298"/>
    <s v="1"/>
    <s v="CU"/>
    <s v=""/>
    <n v="6"/>
    <s v="SERVC"/>
    <s v="GRD-F027"/>
    <m/>
    <m/>
    <m/>
    <m/>
    <s v="FC000022"/>
    <s v="1"/>
    <s v="CU"/>
    <m/>
    <n v="6"/>
    <s v=""/>
    <s v="71118"/>
    <s v="Saône-et-Loire"/>
    <x v="18"/>
    <s v="GINKO"/>
    <s v="LINKY"/>
    <n v="2"/>
    <b v="1"/>
    <b v="1"/>
    <b v="0"/>
    <b v="0"/>
    <b v="0"/>
    <b v="0"/>
    <s v="F130B"/>
    <s v="Téléopération"/>
    <n v="0.01"/>
    <n v="0.01"/>
    <m/>
    <m/>
  </r>
  <r>
    <s v="12169030330605"/>
    <s v="1"/>
    <s v="CU"/>
    <s v=""/>
    <n v="6"/>
    <s v="SERVC"/>
    <s v="GRD-F051"/>
    <m/>
    <m/>
    <m/>
    <m/>
    <s v="FC000147"/>
    <s v="1"/>
    <s v="CU"/>
    <m/>
    <n v="6"/>
    <s v=""/>
    <s v="71230"/>
    <s v="Saône-et-Loire"/>
    <x v="1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2201447124473"/>
    <s v="1"/>
    <s v="CU"/>
    <s v=""/>
    <n v="6"/>
    <s v="SERVC"/>
    <s v="GRD-F006"/>
    <m/>
    <m/>
    <m/>
    <m/>
    <s v="FC000018"/>
    <s v="1"/>
    <s v="CU"/>
    <m/>
    <n v="6"/>
    <s v=""/>
    <s v="21850"/>
    <s v="Côte d'Or"/>
    <x v="18"/>
    <s v="GINKO"/>
    <s v="LINKY"/>
    <n v="2"/>
    <b v="1"/>
    <b v="1"/>
    <b v="0"/>
    <b v="0"/>
    <b v="0"/>
    <b v="0"/>
    <s v="F130B"/>
    <s v="Téléopération"/>
    <n v="0.01"/>
    <n v="0.01"/>
    <m/>
    <m/>
  </r>
  <r>
    <s v="01152677212232"/>
    <s v="1"/>
    <s v="CU"/>
    <s v=""/>
    <n v="9"/>
    <s v="SERVC"/>
    <s v="GRD-F051"/>
    <m/>
    <m/>
    <m/>
    <m/>
    <s v="FC000147"/>
    <s v="1"/>
    <s v="CU"/>
    <m/>
    <n v="9"/>
    <s v=""/>
    <s v="59000"/>
    <s v="Nord"/>
    <x v="2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216497820945"/>
    <s v="2"/>
    <s v="MU"/>
    <s v=""/>
    <n v="9"/>
    <s v="SERVC"/>
    <s v="GRD-F051"/>
    <m/>
    <m/>
    <m/>
    <m/>
    <s v="FC000142"/>
    <s v="2"/>
    <s v="MU"/>
    <m/>
    <n v="9"/>
    <s v=""/>
    <s v="59970"/>
    <s v="Nord"/>
    <x v="2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779739484200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x v="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258031762342"/>
    <s v="1"/>
    <s v="CU"/>
    <s v=""/>
    <n v="12"/>
    <s v="SERVC"/>
    <s v="GRD-F051"/>
    <m/>
    <m/>
    <m/>
    <m/>
    <s v="FC000147"/>
    <s v="1"/>
    <s v="CU"/>
    <m/>
    <n v="12"/>
    <s v=""/>
    <s v="59230"/>
    <s v="Nord"/>
    <x v="2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2183502155970"/>
    <s v="1"/>
    <s v="CU"/>
    <s v=""/>
    <n v="9"/>
    <s v="SERVC"/>
    <s v="PROTOC-501"/>
    <m/>
    <m/>
    <m/>
    <m/>
    <s v="FC000010"/>
    <s v="1"/>
    <s v="CU"/>
    <m/>
    <n v="9"/>
    <s v=""/>
    <s v="71450"/>
    <s v="Saône-et-Loire"/>
    <x v="18"/>
    <s v="GINKO"/>
    <s v="LINKY"/>
    <n v="2"/>
    <b v="1"/>
    <b v="1"/>
    <b v="0"/>
    <b v="0"/>
    <b v="0"/>
    <b v="0"/>
    <s v="F130B"/>
    <s v="Téléopération"/>
    <n v="0.01"/>
    <n v="0.01"/>
    <m/>
    <m/>
  </r>
  <r>
    <s v="12220984029366"/>
    <s v="1"/>
    <s v="CU"/>
    <s v=""/>
    <n v="6"/>
    <s v="SERVC"/>
    <s v="GRD-F051"/>
    <m/>
    <m/>
    <m/>
    <m/>
    <s v="FC000147"/>
    <s v="1"/>
    <s v="CU"/>
    <m/>
    <n v="6"/>
    <s v=""/>
    <s v="21000"/>
    <s v="Côte d'Or"/>
    <x v="1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14616307966"/>
    <s v="2"/>
    <s v="CU"/>
    <s v=""/>
    <n v="12"/>
    <s v="SERVC"/>
    <s v="GRD-F006"/>
    <m/>
    <m/>
    <m/>
    <m/>
    <s v="FC000040"/>
    <s v="2"/>
    <s v="MU"/>
    <m/>
    <n v="12"/>
    <s v=""/>
    <s v="44860"/>
    <s v="Loire-Atlantique"/>
    <x v="0"/>
    <s v="GINKO"/>
    <s v="LINKY"/>
    <n v="2"/>
    <b v="1"/>
    <b v="1"/>
    <b v="0"/>
    <b v="1"/>
    <b v="0"/>
    <b v="0"/>
    <s v="F130B"/>
    <s v="Téléopération"/>
    <n v="0.01"/>
    <n v="0.01"/>
    <m/>
    <m/>
  </r>
  <r>
    <s v="14234732230706"/>
    <s v="1"/>
    <s v="CU"/>
    <s v=""/>
    <n v="6"/>
    <s v="SERVC"/>
    <s v="GRD-F051"/>
    <m/>
    <m/>
    <m/>
    <m/>
    <s v="FC000147"/>
    <s v="1"/>
    <s v="CU"/>
    <m/>
    <n v="6"/>
    <s v=""/>
    <s v="4462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1267438471755"/>
    <s v="2"/>
    <s v="CU"/>
    <s v=""/>
    <n v="15"/>
    <s v="SERVC"/>
    <s v="GRD-F027"/>
    <m/>
    <m/>
    <m/>
    <m/>
    <s v="FC000044"/>
    <s v="2"/>
    <s v="CU"/>
    <m/>
    <n v="15"/>
    <s v=""/>
    <s v="78980"/>
    <s v="Yvelines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2203328447220"/>
    <s v="2"/>
    <s v="CU"/>
    <s v=""/>
    <n v="15"/>
    <s v="SERVC"/>
    <s v="GRD-F051"/>
    <m/>
    <m/>
    <m/>
    <m/>
    <s v="FC000142"/>
    <s v="2"/>
    <s v="CU"/>
    <m/>
    <n v="15"/>
    <s v=""/>
    <s v="91140"/>
    <s v="Esson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2483502142714"/>
    <s v="1"/>
    <s v="CU"/>
    <s v=""/>
    <n v="9"/>
    <s v="SERVC"/>
    <s v="GRD-F051"/>
    <m/>
    <m/>
    <m/>
    <m/>
    <s v="FC000147"/>
    <s v="1"/>
    <s v="CU"/>
    <m/>
    <n v="9"/>
    <s v=""/>
    <s v="93160"/>
    <s v="Seine-St-Den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3187554184220"/>
    <s v="1"/>
    <s v="CU"/>
    <s v=""/>
    <n v="9"/>
    <s v="SERVC"/>
    <s v="GRD-F051"/>
    <m/>
    <m/>
    <m/>
    <m/>
    <s v="FC000147"/>
    <s v="1"/>
    <s v="CU"/>
    <m/>
    <n v="9"/>
    <s v=""/>
    <s v="31300"/>
    <s v="Haute-Garonne"/>
    <x v="6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3237915960863"/>
    <s v="1"/>
    <s v="CU"/>
    <s v=""/>
    <n v="6"/>
    <s v="SERVC"/>
    <s v="GRD-F051"/>
    <m/>
    <m/>
    <m/>
    <m/>
    <s v="FC000147"/>
    <s v="1"/>
    <s v="MU4"/>
    <m/>
    <n v="6"/>
    <s v=""/>
    <s v="81150"/>
    <s v="Tarn"/>
    <x v="6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23268306795686"/>
    <s v="2"/>
    <s v="CU"/>
    <s v=""/>
    <n v="18"/>
    <s v="SERVC"/>
    <s v="GRD-F051"/>
    <m/>
    <m/>
    <m/>
    <m/>
    <s v="FC000142"/>
    <s v="2"/>
    <s v="CU"/>
    <m/>
    <n v="18"/>
    <s v=""/>
    <s v="81100"/>
    <s v="Tarn"/>
    <x v="6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390882606201"/>
    <s v="1"/>
    <s v="CU"/>
    <s v=""/>
    <n v="6"/>
    <s v="SERVC"/>
    <s v="GRD-F051"/>
    <m/>
    <m/>
    <m/>
    <m/>
    <s v="FC000147"/>
    <s v="1"/>
    <s v="CU"/>
    <m/>
    <n v="6"/>
    <s v=""/>
    <s v="34070"/>
    <s v="Hérault"/>
    <x v="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2110853805435"/>
    <s v="2"/>
    <s v="CU"/>
    <s v=""/>
    <n v="6"/>
    <s v="SERVC"/>
    <s v="GRD-F027"/>
    <m/>
    <m/>
    <m/>
    <m/>
    <s v="FC000044"/>
    <s v="2"/>
    <s v="CU"/>
    <m/>
    <n v="6"/>
    <s v=""/>
    <s v="71200"/>
    <s v="Saône-et-Loire"/>
    <x v="18"/>
    <s v="GINKO"/>
    <s v="LINKY"/>
    <n v="2"/>
    <b v="1"/>
    <b v="1"/>
    <b v="0"/>
    <b v="0"/>
    <b v="0"/>
    <b v="0"/>
    <s v="F130B"/>
    <s v="Téléopération"/>
    <n v="0.01"/>
    <n v="0.01"/>
    <m/>
    <m/>
  </r>
  <r>
    <s v="14206656951307"/>
    <s v="2"/>
    <s v="MU"/>
    <s v=""/>
    <n v="15"/>
    <s v="SERVC"/>
    <s v="GRD-F051"/>
    <m/>
    <m/>
    <m/>
    <m/>
    <s v="FC000142"/>
    <s v="2"/>
    <s v="MU"/>
    <m/>
    <n v="15"/>
    <s v=""/>
    <s v="4480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95802994699"/>
    <s v="1"/>
    <s v="CU"/>
    <s v=""/>
    <n v="6"/>
    <s v="SERVC"/>
    <s v="GRD-F006"/>
    <m/>
    <m/>
    <m/>
    <m/>
    <s v="FC000018"/>
    <s v="1"/>
    <s v="CU"/>
    <m/>
    <n v="6"/>
    <s v=""/>
    <s v="44340"/>
    <s v="Loire-Atlantiqu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14356584595606"/>
    <s v="1"/>
    <s v="CU"/>
    <s v=""/>
    <n v="6"/>
    <s v="SERVC"/>
    <s v="GRD-F027"/>
    <m/>
    <m/>
    <m/>
    <m/>
    <s v="FC000022"/>
    <s v="1"/>
    <s v="CU"/>
    <m/>
    <n v="6"/>
    <s v=""/>
    <s v="85600"/>
    <s v="Vendé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14453690288654"/>
    <s v="1"/>
    <s v="CU"/>
    <s v=""/>
    <n v="6"/>
    <s v="SERVC"/>
    <s v="PROTOC-501"/>
    <m/>
    <m/>
    <m/>
    <m/>
    <s v="FC000010"/>
    <s v="1"/>
    <s v="MU4"/>
    <m/>
    <n v="6"/>
    <s v=""/>
    <s v="35160"/>
    <s v="Ille-et-Vilaine"/>
    <x v="3"/>
    <s v="GINKO"/>
    <s v="LINKY"/>
    <n v="2"/>
    <b v="1"/>
    <b v="1"/>
    <b v="0"/>
    <b v="1"/>
    <b v="0"/>
    <b v="0"/>
    <s v="F130B"/>
    <s v="Téléopération"/>
    <n v="0.01"/>
    <n v="0.01"/>
    <m/>
    <m/>
  </r>
  <r>
    <s v="14485672926030"/>
    <s v="2"/>
    <s v="MU"/>
    <s v=""/>
    <n v="6"/>
    <s v="SERVC"/>
    <s v="PROTOC-501"/>
    <m/>
    <m/>
    <m/>
    <m/>
    <s v="FC000032"/>
    <s v="2"/>
    <s v="MU"/>
    <m/>
    <n v="6"/>
    <s v=""/>
    <s v="35720"/>
    <s v="Ille-et-Vilain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5431259006722"/>
    <s v="2"/>
    <s v="MU"/>
    <s v=""/>
    <n v="9"/>
    <s v="SERVC"/>
    <s v="GRD-F051"/>
    <m/>
    <m/>
    <m/>
    <m/>
    <s v="FC000142"/>
    <s v="2"/>
    <s v="MU"/>
    <m/>
    <n v="9"/>
    <s v=""/>
    <s v="79000"/>
    <s v="Deux-Sèvres"/>
    <x v="13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6128798659892"/>
    <s v="2"/>
    <s v="CU"/>
    <s v=""/>
    <n v="9"/>
    <s v="SERVC"/>
    <s v="GRD-F052"/>
    <m/>
    <m/>
    <m/>
    <m/>
    <s v="FC000145"/>
    <s v="2"/>
    <s v="CU"/>
    <m/>
    <n v="9"/>
    <s v=""/>
    <s v="33450"/>
    <s v="Gironde"/>
    <x v="19"/>
    <s v="GINKO"/>
    <s v="LINKY"/>
    <n v="2"/>
    <b v="1"/>
    <b v="1"/>
    <b v="0"/>
    <b v="0"/>
    <b v="0"/>
    <b v="0"/>
    <s v="F130B"/>
    <s v="Téléopération"/>
    <n v="0.01"/>
    <n v="0.01"/>
    <m/>
    <m/>
  </r>
  <r>
    <s v="17145151895189"/>
    <s v="1"/>
    <s v="CU"/>
    <s v=""/>
    <n v="6"/>
    <s v="SERVC"/>
    <s v="GRD-F001"/>
    <m/>
    <m/>
    <m/>
    <m/>
    <s v="FC000063"/>
    <s v="1"/>
    <s v="CU"/>
    <m/>
    <n v="6"/>
    <s v=""/>
    <s v="63670"/>
    <s v="Puy-de-Dôme"/>
    <x v="14"/>
    <s v="GINKO"/>
    <s v="LINKY"/>
    <n v="2"/>
    <b v="1"/>
    <b v="1"/>
    <b v="0"/>
    <b v="0"/>
    <b v="0"/>
    <b v="0"/>
    <s v="F130B"/>
    <s v="Téléopération"/>
    <n v="0.01"/>
    <n v="0.01"/>
    <m/>
    <m/>
  </r>
  <r>
    <s v="17394355985724"/>
    <s v="1"/>
    <s v="CU"/>
    <s v=""/>
    <n v="6"/>
    <s v="SERVC"/>
    <s v="GRD-F051"/>
    <m/>
    <m/>
    <m/>
    <m/>
    <s v="FC000147"/>
    <s v="1"/>
    <s v="CU"/>
    <m/>
    <n v="6"/>
    <s v=""/>
    <s v="03200"/>
    <s v="Allier"/>
    <x v="1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2141533935685"/>
    <s v="1"/>
    <s v="CU"/>
    <s v=""/>
    <n v="6"/>
    <s v="SERVC"/>
    <s v="PROTOC-501"/>
    <m/>
    <m/>
    <m/>
    <m/>
    <s v="FC000010"/>
    <s v="1"/>
    <s v="CU"/>
    <m/>
    <n v="6"/>
    <s v=""/>
    <s v="76650"/>
    <s v="Seine-Maritime"/>
    <x v="16"/>
    <s v="GINKO"/>
    <s v="LINKY"/>
    <n v="2"/>
    <b v="1"/>
    <b v="1"/>
    <b v="0"/>
    <b v="0"/>
    <b v="0"/>
    <b v="0"/>
    <s v="F130B"/>
    <s v="Téléopération"/>
    <n v="0.01"/>
    <n v="0.01"/>
    <m/>
    <m/>
  </r>
  <r>
    <s v="19835745252240"/>
    <s v="1"/>
    <s v="CU"/>
    <s v=""/>
    <n v="9"/>
    <s v="SERVC"/>
    <s v="GRD-F051"/>
    <m/>
    <m/>
    <m/>
    <m/>
    <s v="FC000147"/>
    <s v="1"/>
    <s v="MU4"/>
    <m/>
    <n v="9"/>
    <s v=""/>
    <s v="42300"/>
    <s v="Loire"/>
    <x v="15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21146599040177"/>
    <s v="1"/>
    <s v="CU"/>
    <s v=""/>
    <n v="6"/>
    <s v="SERVC"/>
    <s v="PROTOC-501"/>
    <m/>
    <m/>
    <m/>
    <m/>
    <s v="FC000010"/>
    <s v="1"/>
    <s v="CU"/>
    <m/>
    <n v="6"/>
    <s v=""/>
    <s v="78610"/>
    <s v="Yvelines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02156005767382"/>
    <s v="1"/>
    <s v="CU"/>
    <s v=""/>
    <n v="6"/>
    <s v="SERVC"/>
    <s v="GRD-F051"/>
    <m/>
    <m/>
    <m/>
    <m/>
    <s v="FC000147"/>
    <s v="1"/>
    <s v="CU"/>
    <m/>
    <n v="6"/>
    <s v=""/>
    <s v="76520"/>
    <s v="Seine-Maritime"/>
    <x v="16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787409527772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x v="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890882723968"/>
    <s v="2"/>
    <s v="MU"/>
    <s v=""/>
    <n v="6"/>
    <s v="SERVC"/>
    <s v="PROTOC-501"/>
    <m/>
    <m/>
    <m/>
    <m/>
    <s v="FC000032"/>
    <s v="2"/>
    <s v="MU"/>
    <m/>
    <n v="6"/>
    <s v=""/>
    <s v="56100"/>
    <s v="Morbihan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07347901534794"/>
    <s v="1"/>
    <s v="CU"/>
    <s v=""/>
    <n v="6"/>
    <s v="SERVC"/>
    <s v="GRD-F051"/>
    <m/>
    <m/>
    <m/>
    <m/>
    <s v="FC000147"/>
    <s v="1"/>
    <s v="CU"/>
    <m/>
    <n v="6"/>
    <s v=""/>
    <s v="75013"/>
    <s v="Par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108827769167"/>
    <s v="2"/>
    <s v="CU"/>
    <s v=""/>
    <n v="9"/>
    <s v="SERVC"/>
    <s v="PROTOC-501"/>
    <m/>
    <m/>
    <m/>
    <m/>
    <s v="FC000032"/>
    <s v="2"/>
    <s v="MU"/>
    <m/>
    <n v="9"/>
    <s v=""/>
    <s v="72200"/>
    <s v="Sarthe"/>
    <x v="0"/>
    <s v="GINKO"/>
    <s v="LINKY"/>
    <n v="2"/>
    <b v="1"/>
    <b v="1"/>
    <b v="0"/>
    <b v="1"/>
    <b v="0"/>
    <b v="0"/>
    <s v="F130B"/>
    <s v="Téléopération"/>
    <n v="0.01"/>
    <n v="0.01"/>
    <m/>
    <m/>
  </r>
  <r>
    <s v="09315918941515"/>
    <s v="1"/>
    <s v="CU"/>
    <s v=""/>
    <n v="6"/>
    <s v="SERVC"/>
    <s v="GRD-F051"/>
    <m/>
    <m/>
    <m/>
    <m/>
    <s v="FC000147"/>
    <s v="1"/>
    <s v="CU"/>
    <m/>
    <n v="6"/>
    <s v=""/>
    <s v="49300"/>
    <s v="Maine-et-Loir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717944991689"/>
    <s v="1"/>
    <s v="CU"/>
    <s v=""/>
    <n v="6"/>
    <s v="SERVC"/>
    <s v="GRD-F001"/>
    <m/>
    <m/>
    <m/>
    <m/>
    <s v="FC000063"/>
    <s v="1"/>
    <s v="MU"/>
    <m/>
    <n v="6"/>
    <s v=""/>
    <s v="37000"/>
    <s v="Indre-et-Loire"/>
    <x v="1"/>
    <s v="GINKO"/>
    <s v="LINKY"/>
    <n v="2"/>
    <b v="1"/>
    <b v="1"/>
    <b v="0"/>
    <b v="1"/>
    <b v="0"/>
    <b v="0"/>
    <s v="F130B"/>
    <s v="Téléopération"/>
    <n v="0.01"/>
    <n v="0.01"/>
    <m/>
    <m/>
  </r>
  <r>
    <s v="14269753962495"/>
    <s v="1"/>
    <s v="CU"/>
    <s v=""/>
    <n v="6"/>
    <s v="SERVC"/>
    <s v="PROTOC-501"/>
    <m/>
    <m/>
    <m/>
    <m/>
    <s v="FC000010"/>
    <s v="1"/>
    <s v="CU"/>
    <m/>
    <n v="6"/>
    <s v=""/>
    <s v="44600"/>
    <s v="Loire-Atlantiqu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14296671365453"/>
    <s v="1"/>
    <s v="CU"/>
    <s v=""/>
    <n v="6"/>
    <s v="SERVC"/>
    <s v="PROTOC-501"/>
    <m/>
    <m/>
    <m/>
    <m/>
    <s v="FC000010"/>
    <s v="1"/>
    <s v="MU4"/>
    <m/>
    <n v="6"/>
    <s v=""/>
    <s v="44230"/>
    <s v="Loire-Atlantique"/>
    <x v="0"/>
    <s v="GINKO"/>
    <s v="LINKY"/>
    <n v="2"/>
    <b v="1"/>
    <b v="1"/>
    <b v="0"/>
    <b v="1"/>
    <b v="0"/>
    <b v="0"/>
    <s v="F130B"/>
    <s v="Téléopération"/>
    <n v="0.01"/>
    <n v="0.01"/>
    <m/>
    <m/>
  </r>
  <r>
    <s v="14500868247269"/>
    <s v="2"/>
    <s v="MU"/>
    <s v=""/>
    <n v="9"/>
    <s v="SERVC"/>
    <s v="GRD-F027"/>
    <m/>
    <m/>
    <m/>
    <m/>
    <s v="FC000044"/>
    <s v="2"/>
    <s v="MU"/>
    <m/>
    <n v="9"/>
    <s v=""/>
    <s v="22440"/>
    <s v="Côtes d'Armor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4544138852489"/>
    <s v="2"/>
    <s v="CU"/>
    <s v=""/>
    <n v="12"/>
    <s v="SERVC"/>
    <s v="GRD-F051"/>
    <m/>
    <m/>
    <m/>
    <m/>
    <s v="FC000142"/>
    <s v="2"/>
    <s v="MU"/>
    <m/>
    <n v="12"/>
    <s v=""/>
    <s v="22130"/>
    <s v="Côtes d'Armor"/>
    <x v="3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14706656969382"/>
    <s v="2"/>
    <s v="CU"/>
    <s v=""/>
    <n v="12"/>
    <s v="SERVC"/>
    <s v="PROTOC-501"/>
    <m/>
    <m/>
    <m/>
    <m/>
    <s v="FC000032"/>
    <s v="2"/>
    <s v="MU"/>
    <m/>
    <n v="12"/>
    <s v=""/>
    <s v="29910"/>
    <s v="Finistère"/>
    <x v="3"/>
    <s v="GINKO"/>
    <s v="LINKY"/>
    <n v="2"/>
    <b v="1"/>
    <b v="1"/>
    <b v="0"/>
    <b v="1"/>
    <b v="0"/>
    <b v="0"/>
    <s v="F130B"/>
    <s v="Téléopération"/>
    <n v="0.01"/>
    <n v="0.01"/>
    <m/>
    <m/>
  </r>
  <r>
    <s v="15591751061656"/>
    <s v="1"/>
    <s v="CU"/>
    <s v=""/>
    <n v="9"/>
    <s v="SERVC"/>
    <s v="GRD-F027"/>
    <m/>
    <m/>
    <m/>
    <m/>
    <s v="FC000044"/>
    <s v="2"/>
    <s v="CU"/>
    <m/>
    <n v="9"/>
    <s v=""/>
    <s v="87280"/>
    <s v="Haute-Vienne"/>
    <x v="20"/>
    <s v="GINKO"/>
    <s v="CBE"/>
    <n v="0"/>
    <b v="0"/>
    <b v="1"/>
    <b v="1"/>
    <b v="0"/>
    <b v="0"/>
    <b v="0"/>
    <s v="F130B"/>
    <s v="Déplacement sur site"/>
    <n v="0.01"/>
    <n v="1"/>
    <m/>
    <s v="Changement de structure tarifaire sur compteur CBE"/>
  </r>
  <r>
    <s v="16165846545015"/>
    <s v="2"/>
    <s v="MU"/>
    <s v=""/>
    <n v="6"/>
    <s v="SERVC"/>
    <s v="GRD-F051"/>
    <m/>
    <m/>
    <m/>
    <m/>
    <s v="FC000142"/>
    <s v="2"/>
    <s v="MU"/>
    <m/>
    <n v="6"/>
    <s v=""/>
    <s v="33800"/>
    <s v="Gironde"/>
    <x v="19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6478147570520"/>
    <s v="1"/>
    <s v="CU"/>
    <s v=""/>
    <n v="6"/>
    <s v="SERVC"/>
    <s v="GRD-F006"/>
    <m/>
    <m/>
    <m/>
    <m/>
    <s v="FC000018"/>
    <s v="1"/>
    <s v="CU"/>
    <m/>
    <n v="6"/>
    <s v=""/>
    <s v="40465"/>
    <s v="Landes"/>
    <x v="19"/>
    <s v="GINKO"/>
    <s v="LINKY"/>
    <n v="2"/>
    <b v="1"/>
    <b v="1"/>
    <b v="0"/>
    <b v="0"/>
    <b v="0"/>
    <b v="0"/>
    <s v="F130B"/>
    <s v="Téléopération"/>
    <n v="0.01"/>
    <n v="0.01"/>
    <m/>
    <m/>
  </r>
  <r>
    <s v="17183646787958"/>
    <s v="2"/>
    <s v="MU"/>
    <s v=""/>
    <n v="9"/>
    <s v="SERVC"/>
    <s v="GRD-F051"/>
    <m/>
    <m/>
    <m/>
    <m/>
    <s v="FC000142"/>
    <s v="2"/>
    <s v="MU"/>
    <m/>
    <n v="9"/>
    <s v=""/>
    <s v="63000"/>
    <s v="Puy-de-Dôme"/>
    <x v="1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9117221256728"/>
    <s v="2"/>
    <s v="MU"/>
    <s v=""/>
    <n v="6"/>
    <s v="SERVC"/>
    <s v="GRD-F051"/>
    <m/>
    <m/>
    <m/>
    <m/>
    <s v="FC000142"/>
    <s v="2"/>
    <s v="MU"/>
    <m/>
    <n v="6"/>
    <s v=""/>
    <s v="69006"/>
    <s v="Rhône"/>
    <x v="1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9140376265022"/>
    <s v="1"/>
    <s v="CU"/>
    <s v=""/>
    <n v="6"/>
    <s v="SERVC"/>
    <s v="PROTOC-501"/>
    <m/>
    <m/>
    <m/>
    <m/>
    <s v="FC000010"/>
    <s v="1"/>
    <s v="CU"/>
    <m/>
    <n v="6"/>
    <s v=""/>
    <s v="69006"/>
    <s v="Rhône"/>
    <x v="15"/>
    <s v="GINKO"/>
    <s v="LINKY"/>
    <n v="2"/>
    <b v="1"/>
    <b v="1"/>
    <b v="0"/>
    <b v="0"/>
    <b v="0"/>
    <b v="0"/>
    <s v="F130B"/>
    <s v="Téléopération"/>
    <n v="0.01"/>
    <n v="0.01"/>
    <m/>
    <m/>
  </r>
  <r>
    <s v="19569609169156"/>
    <s v="2"/>
    <s v="MU"/>
    <s v=""/>
    <n v="9"/>
    <s v="SERVC"/>
    <s v="GRD-F051"/>
    <m/>
    <m/>
    <m/>
    <m/>
    <s v="FC000142"/>
    <s v="2"/>
    <s v="MU"/>
    <m/>
    <n v="9"/>
    <s v=""/>
    <s v="74100"/>
    <s v="Haute-Savoie"/>
    <x v="1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9986975337177"/>
    <s v="1"/>
    <s v="CU"/>
    <s v=""/>
    <n v="6"/>
    <s v="SERVC"/>
    <s v="GRD-F006"/>
    <m/>
    <m/>
    <m/>
    <m/>
    <s v="FC000018"/>
    <s v="1"/>
    <s v="CU"/>
    <m/>
    <n v="6"/>
    <s v=""/>
    <s v="01000"/>
    <s v="Ain"/>
    <x v="15"/>
    <s v="GINKO"/>
    <s v="LINKY"/>
    <n v="1"/>
    <b v="1"/>
    <b v="1"/>
    <b v="0"/>
    <b v="0"/>
    <b v="0"/>
    <b v="0"/>
    <s v="F130B"/>
    <s v="Téléopération"/>
    <n v="0.01"/>
    <n v="0.01"/>
    <m/>
    <m/>
  </r>
  <r>
    <s v="07321852338565"/>
    <s v="2"/>
    <s v="MU"/>
    <s v=""/>
    <n v="6"/>
    <s v="SERVC"/>
    <s v="GRD-F051"/>
    <m/>
    <m/>
    <m/>
    <m/>
    <s v="FC000142"/>
    <s v="2"/>
    <s v="MU"/>
    <m/>
    <n v="6"/>
    <s v=""/>
    <s v="75013"/>
    <s v="Par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53256065017"/>
    <s v="1"/>
    <s v="CU"/>
    <s v=""/>
    <n v="6"/>
    <s v="SERVC"/>
    <s v="GRD-F051"/>
    <m/>
    <m/>
    <m/>
    <m/>
    <s v="FC000147"/>
    <s v="1"/>
    <s v="CU"/>
    <m/>
    <n v="6"/>
    <s v=""/>
    <s v="4430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910564392213"/>
    <s v="2"/>
    <s v="MU"/>
    <s v=""/>
    <n v="12"/>
    <s v="SERVC"/>
    <s v="GRD-F051"/>
    <m/>
    <m/>
    <m/>
    <m/>
    <s v="FC000142"/>
    <s v="2"/>
    <s v="MU"/>
    <m/>
    <n v="12"/>
    <s v=""/>
    <s v="06410"/>
    <s v="Alpes-Maritimes"/>
    <x v="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610853828480"/>
    <s v="2"/>
    <s v="MU"/>
    <s v=""/>
    <n v="12"/>
    <s v="SERVC"/>
    <s v="GRD-F051"/>
    <m/>
    <m/>
    <m/>
    <m/>
    <s v="FC000142"/>
    <s v="2"/>
    <s v="MU"/>
    <m/>
    <n v="12"/>
    <s v=""/>
    <s v="80540"/>
    <s v="Somme"/>
    <x v="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58610519920"/>
    <s v="2"/>
    <s v="CU"/>
    <s v=""/>
    <n v="9"/>
    <s v="SERVC"/>
    <s v="GRD-F058"/>
    <m/>
    <m/>
    <m/>
    <m/>
    <s v="FC000166"/>
    <s v="2"/>
    <s v="MU"/>
    <m/>
    <n v="9"/>
    <s v=""/>
    <s v="44470"/>
    <s v="Loire-Atlantique"/>
    <x v="0"/>
    <s v="GINKO"/>
    <s v="LINKY"/>
    <n v="2"/>
    <b v="1"/>
    <b v="1"/>
    <b v="0"/>
    <b v="1"/>
    <b v="0"/>
    <b v="0"/>
    <s v="F130B"/>
    <s v="Téléopération"/>
    <n v="0.01"/>
    <n v="0.01"/>
    <m/>
    <m/>
  </r>
  <r>
    <s v="21419970950094"/>
    <s v="1"/>
    <s v="CU"/>
    <s v=""/>
    <n v="6"/>
    <s v="SERVC"/>
    <s v="GRD-F051"/>
    <m/>
    <m/>
    <m/>
    <m/>
    <s v="FC000147"/>
    <s v="1"/>
    <s v="CU"/>
    <m/>
    <n v="6"/>
    <s v=""/>
    <s v="95240"/>
    <s v="Val-d'Ois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26">
  <r>
    <s v="09164544121954"/>
    <s v="1"/>
    <s v="CU"/>
    <s v=""/>
    <n v="12"/>
    <s v="SERVC"/>
    <s v="GRD-F006"/>
    <m/>
    <m/>
    <m/>
    <m/>
    <s v="FC000018"/>
    <s v="1"/>
    <s v="CU"/>
    <m/>
    <n v="12"/>
    <s v=""/>
    <s v="72160"/>
    <s v="Sarthe"/>
    <x v="0"/>
    <s v="GINKO"/>
    <s v="LINKY"/>
    <n v="2"/>
    <b v="1"/>
    <b v="1"/>
    <b v="0"/>
    <b v="0"/>
    <b v="0"/>
    <b v="0"/>
    <s v="F130B"/>
    <x v="0"/>
    <n v="0.01"/>
    <n v="0.01"/>
    <m/>
    <m/>
  </r>
  <r>
    <s v="09780028911863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x v="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797539789041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x v="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388422484103"/>
    <s v="1"/>
    <s v="CU"/>
    <s v=""/>
    <n v="6"/>
    <s v="SERVC"/>
    <s v="GRD-F051"/>
    <m/>
    <m/>
    <m/>
    <m/>
    <s v="FC000147"/>
    <s v="1"/>
    <s v="CU"/>
    <m/>
    <n v="6"/>
    <s v=""/>
    <s v="59165"/>
    <s v="Nord"/>
    <x v="2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521418216821"/>
    <s v="2"/>
    <s v="CU"/>
    <s v=""/>
    <n v="12"/>
    <s v="SERVC"/>
    <s v="GRD-F051"/>
    <m/>
    <m/>
    <m/>
    <m/>
    <s v="FC000142"/>
    <s v="2"/>
    <s v="CU"/>
    <m/>
    <n v="12"/>
    <s v=""/>
    <s v="22190"/>
    <s v="Côtes d'Armor"/>
    <x v="3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635600576120"/>
    <s v="1"/>
    <s v="CU"/>
    <s v=""/>
    <n v="6"/>
    <s v="SERVC"/>
    <s v="PROTOC-501"/>
    <m/>
    <m/>
    <m/>
    <m/>
    <s v="FC000010"/>
    <s v="1"/>
    <s v="CU"/>
    <m/>
    <n v="6"/>
    <s v=""/>
    <s v="29200"/>
    <s v="Finistère"/>
    <x v="3"/>
    <s v="GINKO"/>
    <s v="LINKY"/>
    <n v="2"/>
    <b v="1"/>
    <b v="1"/>
    <b v="0"/>
    <b v="0"/>
    <b v="0"/>
    <b v="0"/>
    <s v="F130B"/>
    <x v="0"/>
    <n v="0.01"/>
    <n v="0.01"/>
    <m/>
    <m/>
  </r>
  <r>
    <s v="21327062106150"/>
    <s v="2"/>
    <s v="MU"/>
    <s v=""/>
    <n v="9"/>
    <s v="SERVC"/>
    <s v="GRD-F051"/>
    <m/>
    <m/>
    <m/>
    <m/>
    <s v="FC000142"/>
    <s v="2"/>
    <s v="MU"/>
    <m/>
    <n v="9"/>
    <s v=""/>
    <s v="92130"/>
    <s v="Hauts-de-Sei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x v="5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22160202552029"/>
    <s v="2"/>
    <s v="MU"/>
    <s v=""/>
    <n v="18"/>
    <s v="SERVC"/>
    <s v="GRD-F027"/>
    <m/>
    <m/>
    <m/>
    <m/>
    <s v="FC000044"/>
    <s v="2"/>
    <s v="CU"/>
    <m/>
    <n v="18"/>
    <s v=""/>
    <s v="77510"/>
    <s v="Seine-et-Marne"/>
    <x v="4"/>
    <s v="GINKO"/>
    <s v="LINKY"/>
    <n v="2"/>
    <b v="1"/>
    <b v="1"/>
    <b v="0"/>
    <b v="1"/>
    <b v="0"/>
    <b v="0"/>
    <s v="F130B"/>
    <x v="0"/>
    <n v="0.01"/>
    <n v="0.01"/>
    <m/>
    <m/>
  </r>
  <r>
    <s v="22290159137484"/>
    <s v="1"/>
    <s v="CU"/>
    <s v=""/>
    <n v="9"/>
    <s v="SERVC"/>
    <s v="GRD-F006"/>
    <m/>
    <m/>
    <m/>
    <m/>
    <s v="FC000018"/>
    <s v="1"/>
    <s v="CU"/>
    <m/>
    <n v="9"/>
    <s v=""/>
    <s v="91120"/>
    <s v="Essonne"/>
    <x v="4"/>
    <s v="GINKO"/>
    <s v="LINKY"/>
    <n v="2"/>
    <b v="1"/>
    <b v="1"/>
    <b v="0"/>
    <b v="0"/>
    <b v="0"/>
    <b v="0"/>
    <s v="F130B"/>
    <x v="0"/>
    <n v="0.01"/>
    <n v="0.01"/>
    <m/>
    <m/>
  </r>
  <r>
    <s v="22575976781746"/>
    <s v="2"/>
    <s v="MU"/>
    <s v=""/>
    <n v="6"/>
    <s v="SERVC"/>
    <s v="GRD-F051"/>
    <m/>
    <m/>
    <m/>
    <m/>
    <s v="FC000142"/>
    <s v="2"/>
    <s v="MU"/>
    <m/>
    <n v="6"/>
    <s v=""/>
    <s v="93600"/>
    <s v="Seine-St-Den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3538060764251"/>
    <s v="1"/>
    <s v="CU"/>
    <s v=""/>
    <n v="6"/>
    <s v="SERVC"/>
    <s v="PROTOC-501"/>
    <m/>
    <m/>
    <m/>
    <m/>
    <s v="FC000010"/>
    <s v="1"/>
    <s v="CU"/>
    <m/>
    <n v="6"/>
    <s v=""/>
    <s v="12000"/>
    <s v="Aveyron"/>
    <x v="6"/>
    <s v="GINKO"/>
    <s v="LINKY"/>
    <n v="2"/>
    <b v="1"/>
    <b v="1"/>
    <b v="0"/>
    <b v="0"/>
    <b v="0"/>
    <b v="0"/>
    <s v="F130B"/>
    <x v="0"/>
    <n v="0.01"/>
    <n v="0.01"/>
    <m/>
    <m/>
  </r>
  <r>
    <s v="24341099817969"/>
    <s v="1"/>
    <s v="CU"/>
    <s v=""/>
    <n v="6"/>
    <s v="SERVC"/>
    <s v="GRD-F051"/>
    <m/>
    <m/>
    <m/>
    <m/>
    <s v="FC000147"/>
    <s v="1"/>
    <s v="CU"/>
    <m/>
    <n v="6"/>
    <s v=""/>
    <s v="34430"/>
    <s v="Hérault"/>
    <x v="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570188123872"/>
    <s v="1"/>
    <s v="CU"/>
    <s v=""/>
    <n v="6"/>
    <s v="SERVC"/>
    <s v="GRD-F001"/>
    <m/>
    <m/>
    <m/>
    <m/>
    <s v="FC000063"/>
    <s v="1"/>
    <s v="CU"/>
    <m/>
    <n v="6"/>
    <s v=""/>
    <s v="30000"/>
    <s v="Gard"/>
    <x v="7"/>
    <s v="GINKO"/>
    <s v="LINKY"/>
    <n v="2"/>
    <b v="1"/>
    <b v="1"/>
    <b v="0"/>
    <b v="0"/>
    <b v="0"/>
    <b v="0"/>
    <s v="F130B"/>
    <x v="0"/>
    <n v="0.01"/>
    <n v="0.01"/>
    <m/>
    <m/>
  </r>
  <r>
    <s v="01328943557999"/>
    <s v="1"/>
    <s v="CU"/>
    <s v=""/>
    <n v="6"/>
    <s v="SERVC"/>
    <s v="GRD-F044"/>
    <m/>
    <m/>
    <m/>
    <m/>
    <s v="FC000123"/>
    <s v="1"/>
    <s v="CU"/>
    <m/>
    <n v="6"/>
    <s v=""/>
    <s v="62210"/>
    <s v="Pas-de-Calais"/>
    <x v="2"/>
    <s v="GINKO"/>
    <s v="LINKY"/>
    <n v="2"/>
    <b v="1"/>
    <b v="1"/>
    <b v="0"/>
    <b v="0"/>
    <b v="0"/>
    <b v="0"/>
    <s v="F130B"/>
    <x v="0"/>
    <n v="0.01"/>
    <n v="0.01"/>
    <m/>
    <m/>
  </r>
  <r>
    <s v="14229377680778"/>
    <s v="1"/>
    <s v="CU"/>
    <s v=""/>
    <n v="9"/>
    <s v="SERVC"/>
    <s v="GRD-F051"/>
    <m/>
    <m/>
    <m/>
    <m/>
    <s v="FC000147"/>
    <s v="1"/>
    <s v="CU"/>
    <m/>
    <n v="9"/>
    <s v=""/>
    <s v="4480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54703220809"/>
    <s v="1"/>
    <s v="CU"/>
    <s v=""/>
    <n v="6"/>
    <s v="SERVC"/>
    <s v="GRD-F051"/>
    <m/>
    <m/>
    <m/>
    <m/>
    <s v="FC000147"/>
    <s v="1"/>
    <s v="CU"/>
    <m/>
    <n v="6"/>
    <s v=""/>
    <s v="4470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82199669190"/>
    <s v="2"/>
    <s v="MU"/>
    <s v=""/>
    <n v="12"/>
    <s v="SERVC"/>
    <s v="GRD-F051"/>
    <m/>
    <m/>
    <m/>
    <m/>
    <s v="FC000142"/>
    <s v="2"/>
    <s v="MU"/>
    <m/>
    <n v="12"/>
    <s v=""/>
    <s v="4462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1241099744510"/>
    <s v="1"/>
    <s v="CU"/>
    <s v=""/>
    <n v="6"/>
    <s v="SERVC"/>
    <s v="GRD-F006"/>
    <m/>
    <m/>
    <m/>
    <m/>
    <s v="FC000018"/>
    <s v="1"/>
    <s v="CU"/>
    <m/>
    <n v="6"/>
    <s v=""/>
    <s v="78710"/>
    <s v="Yvelines"/>
    <x v="4"/>
    <s v="GINKO"/>
    <s v="LINKY"/>
    <n v="2"/>
    <b v="1"/>
    <b v="1"/>
    <b v="0"/>
    <b v="0"/>
    <b v="0"/>
    <b v="0"/>
    <s v="F130B"/>
    <x v="0"/>
    <n v="0.01"/>
    <n v="0.01"/>
    <m/>
    <m/>
  </r>
  <r>
    <s v="21357742276207"/>
    <s v="1"/>
    <s v="CU"/>
    <s v=""/>
    <n v="9"/>
    <s v="SERVC"/>
    <s v="GRD-F006"/>
    <m/>
    <m/>
    <m/>
    <m/>
    <s v="FC000018"/>
    <s v="1"/>
    <s v="CU"/>
    <m/>
    <n v="9"/>
    <s v=""/>
    <s v="92370"/>
    <s v="Hauts-de-Seine"/>
    <x v="4"/>
    <s v="GINKO"/>
    <s v="LINKY"/>
    <n v="2"/>
    <b v="1"/>
    <b v="1"/>
    <b v="0"/>
    <b v="0"/>
    <b v="0"/>
    <b v="0"/>
    <s v="F130B"/>
    <x v="0"/>
    <n v="0.01"/>
    <n v="0.01"/>
    <m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x v="5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22141244538777"/>
    <s v="2"/>
    <s v="MU"/>
    <s v=""/>
    <n v="12"/>
    <s v="SERVC"/>
    <s v="GRD-F051"/>
    <m/>
    <m/>
    <m/>
    <m/>
    <s v="FC000142"/>
    <s v="2"/>
    <s v="MU"/>
    <m/>
    <n v="12"/>
    <s v=""/>
    <s v="77170"/>
    <s v="Seine-et-Mar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2272503584475"/>
    <s v="1"/>
    <s v="CU"/>
    <s v=""/>
    <n v="6"/>
    <s v="SERVC"/>
    <s v="GRD-F006"/>
    <m/>
    <m/>
    <m/>
    <m/>
    <s v="FC000018"/>
    <s v="1"/>
    <s v="CU"/>
    <m/>
    <n v="6"/>
    <s v=""/>
    <s v="91280"/>
    <s v="Essonne"/>
    <x v="4"/>
    <s v="GINKO"/>
    <s v="LINKY"/>
    <n v="2"/>
    <b v="1"/>
    <b v="1"/>
    <b v="0"/>
    <b v="0"/>
    <b v="0"/>
    <b v="0"/>
    <s v="F130B"/>
    <x v="0"/>
    <n v="0.01"/>
    <n v="0.01"/>
    <m/>
    <m/>
  </r>
  <r>
    <s v="22296526753898"/>
    <s v="2"/>
    <s v="CU"/>
    <s v=""/>
    <n v="9"/>
    <s v="SERVC"/>
    <s v="GRD-F051"/>
    <m/>
    <m/>
    <m/>
    <m/>
    <s v="FC000142"/>
    <s v="2"/>
    <s v="CU"/>
    <m/>
    <n v="9"/>
    <s v=""/>
    <s v="91140"/>
    <s v="Esson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2297105602548"/>
    <s v="2"/>
    <s v="MU"/>
    <s v=""/>
    <n v="15"/>
    <s v="SERVC"/>
    <s v="GRD-F051"/>
    <m/>
    <m/>
    <m/>
    <m/>
    <s v="FC000142"/>
    <s v="2"/>
    <s v="MU"/>
    <m/>
    <n v="15"/>
    <s v=""/>
    <s v="91450"/>
    <s v="Esson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4115629490508"/>
    <s v="1"/>
    <s v="CU"/>
    <s v=""/>
    <n v="6"/>
    <s v="SERVC"/>
    <s v="GRD-F051"/>
    <m/>
    <m/>
    <m/>
    <m/>
    <s v="FC000147"/>
    <s v="1"/>
    <s v="CU"/>
    <m/>
    <n v="6"/>
    <s v=""/>
    <s v="02200"/>
    <s v="Aisne"/>
    <x v="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367438429128"/>
    <s v="2"/>
    <s v="MU"/>
    <s v=""/>
    <n v="6"/>
    <s v="SERVC"/>
    <s v="GRD-F051"/>
    <m/>
    <m/>
    <m/>
    <m/>
    <s v="FC000142"/>
    <s v="2"/>
    <s v="MU"/>
    <m/>
    <n v="6"/>
    <s v=""/>
    <s v="34000"/>
    <s v="Hérault"/>
    <x v="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111432587884"/>
    <s v="1"/>
    <s v="CU"/>
    <s v=""/>
    <n v="6"/>
    <s v="SERVC"/>
    <s v="GRD-F051"/>
    <m/>
    <m/>
    <m/>
    <m/>
    <s v="FC000147"/>
    <s v="1"/>
    <s v="CU"/>
    <m/>
    <n v="6"/>
    <s v=""/>
    <s v="13009"/>
    <s v="Bouches du Rhône"/>
    <x v="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283791528239"/>
    <s v="2"/>
    <s v="CU"/>
    <s v=""/>
    <n v="9"/>
    <s v="SERVC"/>
    <s v="PROTOC-501"/>
    <m/>
    <m/>
    <m/>
    <m/>
    <s v="FC000032"/>
    <s v="2"/>
    <s v="MU"/>
    <m/>
    <n v="9"/>
    <s v=""/>
    <s v="13090"/>
    <s v="Bouches du Rhône"/>
    <x v="8"/>
    <s v="GINKO"/>
    <s v="LINKY"/>
    <n v="2"/>
    <b v="1"/>
    <b v="1"/>
    <b v="0"/>
    <b v="1"/>
    <b v="0"/>
    <b v="0"/>
    <s v="F130B"/>
    <x v="0"/>
    <n v="0.01"/>
    <n v="0.01"/>
    <m/>
    <m/>
  </r>
  <r>
    <s v="04302315456404"/>
    <s v="1"/>
    <s v="CU"/>
    <s v=""/>
    <n v="6"/>
    <s v="SERVC"/>
    <s v="GRD-F051"/>
    <m/>
    <m/>
    <m/>
    <m/>
    <s v="FC000147"/>
    <s v="1"/>
    <s v="CU"/>
    <m/>
    <n v="6"/>
    <s v=""/>
    <s v="51100"/>
    <s v="Marne"/>
    <x v="9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5130969555220"/>
    <s v="2"/>
    <s v="MU"/>
    <s v=""/>
    <n v="6"/>
    <s v="SERVC"/>
    <s v="GRD-F051"/>
    <m/>
    <m/>
    <m/>
    <m/>
    <s v="FC000142"/>
    <s v="2"/>
    <s v="MU"/>
    <m/>
    <n v="6"/>
    <s v=""/>
    <s v="54500"/>
    <s v="Meurthe-et-Moselle"/>
    <x v="1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5186975397891"/>
    <s v="1"/>
    <s v="CU"/>
    <s v=""/>
    <n v="9"/>
    <s v="SERVC"/>
    <s v="GRD-F051"/>
    <m/>
    <m/>
    <m/>
    <m/>
    <s v="FC000142"/>
    <s v="2"/>
    <s v="MU4"/>
    <m/>
    <n v="6"/>
    <s v=""/>
    <s v="54110"/>
    <s v="Meurthe-et-Moselle"/>
    <x v="10"/>
    <s v="GINKO"/>
    <s v="LINKY"/>
    <n v="2"/>
    <b v="1"/>
    <b v="0"/>
    <b v="1"/>
    <b v="1"/>
    <b v="0"/>
    <b v="1"/>
    <s v="Non recevable"/>
    <x v="1"/>
    <n v="0"/>
    <n v="0"/>
    <s v="Le contrat cible et le contrat source sont identiques"/>
    <m/>
  </r>
  <r>
    <s v="05410998508420"/>
    <s v="1"/>
    <s v="CU"/>
    <s v=""/>
    <n v="6"/>
    <s v="SERVC"/>
    <s v="GRD-F006"/>
    <m/>
    <m/>
    <m/>
    <m/>
    <s v="FC000018"/>
    <s v="1"/>
    <s v="CU"/>
    <m/>
    <n v="6"/>
    <s v=""/>
    <s v="88100"/>
    <s v="Vosges"/>
    <x v="10"/>
    <s v="GINKO"/>
    <s v="LINKY"/>
    <n v="2"/>
    <b v="1"/>
    <b v="1"/>
    <b v="0"/>
    <b v="0"/>
    <b v="0"/>
    <b v="0"/>
    <s v="F130B"/>
    <x v="0"/>
    <n v="0.01"/>
    <n v="0.01"/>
    <m/>
    <m/>
  </r>
  <r>
    <s v="06305354513287"/>
    <s v="1"/>
    <s v="CU"/>
    <s v=""/>
    <n v="6"/>
    <s v="SERVC"/>
    <s v="GRD-F051"/>
    <m/>
    <m/>
    <m/>
    <m/>
    <s v="FC000147"/>
    <s v="1"/>
    <s v="CU"/>
    <m/>
    <n v="6"/>
    <s v=""/>
    <s v="68260"/>
    <s v="Haut-Rhin"/>
    <x v="1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6537047747086"/>
    <s v="2"/>
    <s v="CU"/>
    <s v=""/>
    <n v="6"/>
    <s v="SERVC"/>
    <s v="GRD-F062"/>
    <m/>
    <m/>
    <m/>
    <m/>
    <s v="FC000178"/>
    <s v="2"/>
    <s v="MU"/>
    <m/>
    <n v="6"/>
    <s v=""/>
    <s v="25000"/>
    <s v="Doubs"/>
    <x v="12"/>
    <s v="GINKO"/>
    <s v="LINKY"/>
    <n v="2"/>
    <b v="1"/>
    <b v="1"/>
    <b v="0"/>
    <b v="1"/>
    <b v="0"/>
    <b v="0"/>
    <s v="F130B"/>
    <x v="0"/>
    <n v="0.01"/>
    <n v="0.01"/>
    <m/>
    <m/>
  </r>
  <r>
    <s v="07238205427113"/>
    <s v="2"/>
    <s v="CU"/>
    <s v=""/>
    <n v="12"/>
    <s v="SERVC"/>
    <s v="GRD-F051"/>
    <m/>
    <m/>
    <m/>
    <m/>
    <s v="FC000142"/>
    <s v="2"/>
    <s v="CU"/>
    <m/>
    <n v="12"/>
    <s v=""/>
    <s v="75011"/>
    <s v="Par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327930534139"/>
    <s v="2"/>
    <s v="MU"/>
    <s v=""/>
    <n v="12"/>
    <s v="SERVC"/>
    <s v="GRD-F027"/>
    <m/>
    <m/>
    <m/>
    <m/>
    <s v="FC000044"/>
    <s v="2"/>
    <s v="MU"/>
    <m/>
    <n v="12"/>
    <s v=""/>
    <s v="85750"/>
    <s v="Vendée"/>
    <x v="0"/>
    <s v="GINKO"/>
    <s v="LINKY"/>
    <n v="2"/>
    <b v="1"/>
    <b v="1"/>
    <b v="0"/>
    <b v="0"/>
    <b v="0"/>
    <b v="0"/>
    <s v="F130B"/>
    <x v="0"/>
    <n v="0.01"/>
    <n v="0.01"/>
    <m/>
    <m/>
  </r>
  <r>
    <s v="14419970954350"/>
    <s v="2"/>
    <s v="MU"/>
    <s v=""/>
    <n v="6"/>
    <s v="SERVC"/>
    <s v="PROTOC-501"/>
    <m/>
    <m/>
    <m/>
    <m/>
    <s v="FC000032"/>
    <s v="2"/>
    <s v="MU"/>
    <m/>
    <n v="6"/>
    <s v=""/>
    <s v="35480"/>
    <s v="Ille-et-Vilaine"/>
    <x v="3"/>
    <s v="GINKO"/>
    <s v="LINKY"/>
    <n v="2"/>
    <b v="1"/>
    <b v="1"/>
    <b v="0"/>
    <b v="0"/>
    <b v="0"/>
    <b v="0"/>
    <s v="F130B"/>
    <x v="0"/>
    <n v="0.01"/>
    <n v="0.01"/>
    <m/>
    <m/>
  </r>
  <r>
    <s v="14489001381437"/>
    <s v="1"/>
    <s v="CU"/>
    <s v=""/>
    <n v="6"/>
    <s v="SERVC"/>
    <s v="GRD-F027"/>
    <m/>
    <m/>
    <m/>
    <m/>
    <s v="FC000022"/>
    <s v="1"/>
    <s v="CU"/>
    <m/>
    <n v="6"/>
    <s v=""/>
    <s v="35370"/>
    <s v="Ille-et-Vilaine"/>
    <x v="3"/>
    <s v="GINKO"/>
    <s v="LINKY"/>
    <n v="2"/>
    <b v="1"/>
    <b v="1"/>
    <b v="0"/>
    <b v="0"/>
    <b v="0"/>
    <b v="0"/>
    <s v="F130B"/>
    <x v="0"/>
    <n v="0.01"/>
    <n v="0.01"/>
    <m/>
    <m/>
  </r>
  <r>
    <s v="01535889989399"/>
    <s v="2"/>
    <s v="MU"/>
    <s v=""/>
    <n v="6"/>
    <s v="SERVC"/>
    <s v="GRD-F006"/>
    <m/>
    <m/>
    <m/>
    <m/>
    <s v="FC000040"/>
    <s v="2"/>
    <s v="MU"/>
    <m/>
    <n v="6"/>
    <s v=""/>
    <s v="59495"/>
    <s v="Nord"/>
    <x v="2"/>
    <s v="GINKO"/>
    <s v="LINKY"/>
    <n v="2"/>
    <b v="1"/>
    <b v="1"/>
    <b v="0"/>
    <b v="0"/>
    <b v="0"/>
    <b v="0"/>
    <s v="F130B"/>
    <x v="0"/>
    <n v="0.01"/>
    <n v="0.01"/>
    <m/>
    <m/>
  </r>
  <r>
    <s v="14640086780989"/>
    <s v="1"/>
    <s v="CU"/>
    <s v=""/>
    <n v="6"/>
    <s v="SERVC"/>
    <s v="GRD-F003"/>
    <m/>
    <m/>
    <m/>
    <m/>
    <s v="FC000010"/>
    <s v="1"/>
    <s v="CU"/>
    <m/>
    <n v="6"/>
    <s v=""/>
    <s v="29200"/>
    <s v="Finistère"/>
    <x v="3"/>
    <s v="GINKO"/>
    <s v="LINKY"/>
    <n v="2"/>
    <b v="1"/>
    <b v="1"/>
    <b v="0"/>
    <b v="0"/>
    <b v="0"/>
    <b v="0"/>
    <s v="F130B"/>
    <x v="0"/>
    <n v="0.01"/>
    <n v="0.01"/>
    <m/>
    <m/>
  </r>
  <r>
    <s v="14807235857727"/>
    <s v="2"/>
    <s v="MU"/>
    <s v=""/>
    <n v="9"/>
    <s v="SERVC"/>
    <s v="PROTOC-501"/>
    <m/>
    <m/>
    <m/>
    <m/>
    <s v="FC000032"/>
    <s v="2"/>
    <s v="MU"/>
    <m/>
    <n v="9"/>
    <s v=""/>
    <s v="56750"/>
    <s v="Morbihan"/>
    <x v="3"/>
    <s v="GINKO"/>
    <s v="LINKY"/>
    <n v="2"/>
    <b v="1"/>
    <b v="1"/>
    <b v="0"/>
    <b v="0"/>
    <b v="0"/>
    <b v="0"/>
    <s v="F130B"/>
    <x v="0"/>
    <n v="0.01"/>
    <n v="0.01"/>
    <m/>
    <m/>
  </r>
  <r>
    <s v="15253979656309"/>
    <s v="2"/>
    <s v="MU"/>
    <s v=""/>
    <n v="9"/>
    <s v="SERVC"/>
    <s v="PROTOC-501"/>
    <m/>
    <m/>
    <m/>
    <m/>
    <s v="FC000032"/>
    <s v="2"/>
    <s v="MU"/>
    <m/>
    <n v="9"/>
    <s v=""/>
    <s v="17320"/>
    <s v="Charente Maritime"/>
    <x v="13"/>
    <s v="GINKO"/>
    <s v="LINKY"/>
    <n v="2"/>
    <b v="1"/>
    <b v="1"/>
    <b v="0"/>
    <b v="0"/>
    <b v="0"/>
    <b v="0"/>
    <s v="F130B"/>
    <x v="0"/>
    <n v="0.01"/>
    <n v="0.01"/>
    <m/>
    <m/>
  </r>
  <r>
    <s v="17115774224342"/>
    <s v="1"/>
    <s v="CU"/>
    <s v=""/>
    <n v="6"/>
    <s v="SERVC"/>
    <s v="GRD-F051"/>
    <m/>
    <m/>
    <m/>
    <m/>
    <s v="FC000147"/>
    <s v="1"/>
    <s v="CU"/>
    <m/>
    <n v="6"/>
    <s v=""/>
    <s v="63115"/>
    <s v="Puy-de-Dôme"/>
    <x v="1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7183357354401"/>
    <s v="2"/>
    <s v="CU"/>
    <s v=""/>
    <n v="9"/>
    <s v="SERVC"/>
    <s v="GRD-F051"/>
    <m/>
    <m/>
    <m/>
    <m/>
    <s v="FC000142"/>
    <s v="2"/>
    <s v="MU"/>
    <m/>
    <n v="9"/>
    <s v=""/>
    <s v="63200"/>
    <s v="Puy-de-Dôme"/>
    <x v="14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19467149014458"/>
    <s v="1"/>
    <s v="CU"/>
    <s v=""/>
    <n v="18"/>
    <s v="SERVC"/>
    <s v="GRD-F051"/>
    <m/>
    <m/>
    <m/>
    <m/>
    <s v="FC000147"/>
    <s v="1"/>
    <s v="CU"/>
    <m/>
    <n v="18"/>
    <s v=""/>
    <s v="69290"/>
    <s v="Rhône"/>
    <x v="1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9786107074902"/>
    <s v="1"/>
    <s v="CU"/>
    <s v=""/>
    <n v="9"/>
    <s v="SERVC"/>
    <s v="GRD-F006"/>
    <m/>
    <m/>
    <m/>
    <m/>
    <s v="FC000018"/>
    <s v="1"/>
    <s v="CU"/>
    <m/>
    <n v="9"/>
    <s v=""/>
    <s v="26200"/>
    <s v="Drôme"/>
    <x v="15"/>
    <s v="GINKO"/>
    <s v="LINKY"/>
    <n v="2"/>
    <b v="1"/>
    <b v="1"/>
    <b v="0"/>
    <b v="0"/>
    <b v="0"/>
    <b v="0"/>
    <s v="F130B"/>
    <x v="0"/>
    <n v="0.01"/>
    <n v="0.01"/>
    <m/>
    <m/>
  </r>
  <r>
    <s v="19882633840580"/>
    <s v="1"/>
    <s v="CU"/>
    <s v=""/>
    <n v="6"/>
    <s v="SERVC"/>
    <s v="GRD-F051"/>
    <m/>
    <m/>
    <m/>
    <m/>
    <s v="FC000147"/>
    <s v="1"/>
    <s v="CU"/>
    <m/>
    <n v="6"/>
    <s v=""/>
    <s v="42650"/>
    <s v="Loire"/>
    <x v="1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2165846586613"/>
    <s v="2"/>
    <s v="MU"/>
    <s v=""/>
    <n v="9"/>
    <s v="SERVC"/>
    <s v="GRD-F051"/>
    <m/>
    <m/>
    <m/>
    <m/>
    <s v="FC000142"/>
    <s v="2"/>
    <s v="MU"/>
    <m/>
    <n v="9"/>
    <s v=""/>
    <s v="76800"/>
    <s v="Seine-Maritime"/>
    <x v="16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2432561503494"/>
    <s v="1"/>
    <s v="CU"/>
    <s v=""/>
    <n v="6"/>
    <s v="SERVC"/>
    <s v="GRD-F051"/>
    <m/>
    <m/>
    <m/>
    <m/>
    <s v="FC000147"/>
    <s v="1"/>
    <s v="CU"/>
    <m/>
    <n v="6"/>
    <s v=""/>
    <s v="14000"/>
    <s v="Calvados"/>
    <x v="1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506078044860"/>
    <s v="1"/>
    <s v="CU"/>
    <s v=""/>
    <n v="9"/>
    <s v="SERVC"/>
    <s v="GRD-F051"/>
    <m/>
    <m/>
    <m/>
    <m/>
    <s v="FC000147"/>
    <s v="1"/>
    <s v="CU"/>
    <m/>
    <n v="9"/>
    <s v=""/>
    <s v="34160"/>
    <s v="Hérault"/>
    <x v="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528075197635"/>
    <s v="1"/>
    <s v="CU"/>
    <s v=""/>
    <n v="9"/>
    <s v="SERVC"/>
    <s v="GRD-F006"/>
    <m/>
    <m/>
    <m/>
    <m/>
    <s v="FC000018"/>
    <s v="1"/>
    <s v="CU"/>
    <m/>
    <n v="9"/>
    <s v=""/>
    <s v="30900"/>
    <s v="Gard"/>
    <x v="7"/>
    <s v="GINKO"/>
    <s v="LINKY"/>
    <n v="2"/>
    <b v="1"/>
    <b v="1"/>
    <b v="0"/>
    <b v="0"/>
    <b v="0"/>
    <b v="0"/>
    <s v="F130B"/>
    <x v="0"/>
    <n v="0.01"/>
    <n v="0.01"/>
    <m/>
    <m/>
  </r>
  <r>
    <s v="25348769848340"/>
    <s v="1"/>
    <s v="CU"/>
    <s v=""/>
    <n v="6"/>
    <s v="SERVC"/>
    <s v="GRD-F051"/>
    <m/>
    <m/>
    <m/>
    <m/>
    <s v="FC000147"/>
    <s v="1"/>
    <s v="CU"/>
    <m/>
    <n v="6"/>
    <s v=""/>
    <s v="83130"/>
    <s v="Var"/>
    <x v="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922865364821"/>
    <s v="1"/>
    <s v="CU"/>
    <s v=""/>
    <n v="3"/>
    <s v="SERVC"/>
    <s v="PROTOC-501"/>
    <m/>
    <m/>
    <m/>
    <m/>
    <s v="FC000010"/>
    <s v="1"/>
    <s v="CU"/>
    <m/>
    <n v="18"/>
    <s v=""/>
    <s v="06130"/>
    <s v="Alpes-Maritimes"/>
    <x v="8"/>
    <s v="GINKO"/>
    <s v="CBE"/>
    <n v="0"/>
    <b v="0"/>
    <b v="1"/>
    <b v="0"/>
    <b v="0"/>
    <b v="0"/>
    <b v="1"/>
    <s v="F130B"/>
    <x v="2"/>
    <n v="0.01"/>
    <n v="1"/>
    <m/>
    <s v="Changement de structure tarifaire sur compteur CBE"/>
  </r>
  <r>
    <s v="04328798808850"/>
    <s v="1"/>
    <s v="CU"/>
    <s v=""/>
    <n v="6"/>
    <s v="SERVC"/>
    <s v="GRD-F051"/>
    <m/>
    <m/>
    <m/>
    <m/>
    <s v="FC000147"/>
    <s v="1"/>
    <s v="CU"/>
    <m/>
    <n v="6"/>
    <s v=""/>
    <s v="51370"/>
    <s v="Marne"/>
    <x v="9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5201591875504"/>
    <s v="2"/>
    <s v="MU"/>
    <s v=""/>
    <n v="6"/>
    <s v="SERVC"/>
    <s v="GRD-F027"/>
    <m/>
    <m/>
    <m/>
    <m/>
    <s v="FC000044"/>
    <s v="2"/>
    <s v="MU"/>
    <m/>
    <n v="6"/>
    <s v=""/>
    <s v="55500"/>
    <s v="Meuse"/>
    <x v="10"/>
    <s v="GINKO"/>
    <s v="LINKY"/>
    <n v="2"/>
    <b v="1"/>
    <b v="1"/>
    <b v="0"/>
    <b v="0"/>
    <b v="0"/>
    <b v="0"/>
    <s v="F130B"/>
    <x v="0"/>
    <n v="0.01"/>
    <n v="0.01"/>
    <m/>
    <m/>
  </r>
  <r>
    <s v="05282633852284"/>
    <s v="2"/>
    <s v="CU"/>
    <s v=""/>
    <n v="12"/>
    <s v="SERVC"/>
    <s v="PROTOC-501"/>
    <m/>
    <m/>
    <m/>
    <m/>
    <s v="FC000032"/>
    <s v="2"/>
    <s v="MU4"/>
    <m/>
    <n v="12"/>
    <s v=""/>
    <s v="52000"/>
    <s v="Haute-Marne"/>
    <x v="9"/>
    <s v="GINKO"/>
    <s v="LINKY"/>
    <n v="2"/>
    <b v="1"/>
    <b v="1"/>
    <b v="0"/>
    <b v="1"/>
    <b v="0"/>
    <b v="0"/>
    <s v="F130B"/>
    <x v="0"/>
    <n v="0.01"/>
    <n v="0.01"/>
    <m/>
    <m/>
  </r>
  <r>
    <s v="05520115707256"/>
    <s v="1"/>
    <s v="CU"/>
    <s v=""/>
    <n v="6"/>
    <s v="SERVC"/>
    <s v="GRD-F051"/>
    <m/>
    <m/>
    <m/>
    <m/>
    <s v="FC000147"/>
    <s v="1"/>
    <s v="CU"/>
    <m/>
    <n v="6"/>
    <s v=""/>
    <s v="57220"/>
    <s v="Moselle"/>
    <x v="1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6321852327986"/>
    <s v="2"/>
    <s v="MU"/>
    <s v=""/>
    <n v="15"/>
    <s v="SERVC"/>
    <s v="PROTOC-501"/>
    <m/>
    <m/>
    <m/>
    <m/>
    <s v="FC000032"/>
    <s v="2"/>
    <s v="MU"/>
    <m/>
    <n v="15"/>
    <s v=""/>
    <s v="68970"/>
    <s v="Haut-Rhin"/>
    <x v="11"/>
    <s v="GINKO"/>
    <s v="LINKY"/>
    <n v="2"/>
    <b v="1"/>
    <b v="1"/>
    <b v="0"/>
    <b v="0"/>
    <b v="0"/>
    <b v="0"/>
    <s v="F130B"/>
    <x v="0"/>
    <n v="0.01"/>
    <n v="0.01"/>
    <m/>
    <m/>
  </r>
  <r>
    <s v="24503039046820"/>
    <s v="1"/>
    <s v="CU"/>
    <s v=""/>
    <n v="6"/>
    <s v="SERVC"/>
    <s v="GRD-F006"/>
    <m/>
    <m/>
    <m/>
    <m/>
    <s v="FC000018"/>
    <s v="1"/>
    <s v="CU"/>
    <m/>
    <n v="6"/>
    <s v=""/>
    <s v="30900"/>
    <s v="Gard"/>
    <x v="7"/>
    <s v="GINKO"/>
    <s v="LINKY"/>
    <n v="2"/>
    <b v="1"/>
    <b v="1"/>
    <b v="0"/>
    <b v="0"/>
    <b v="0"/>
    <b v="0"/>
    <s v="F130B"/>
    <x v="0"/>
    <n v="0.01"/>
    <n v="0.01"/>
    <m/>
    <m/>
  </r>
  <r>
    <s v="04230390720150"/>
    <s v="2"/>
    <s v="MU"/>
    <s v=""/>
    <n v="9"/>
    <s v="SERVC"/>
    <s v="GRD-F051"/>
    <m/>
    <m/>
    <m/>
    <m/>
    <s v="FC000142"/>
    <s v="2"/>
    <s v="MU"/>
    <m/>
    <n v="9"/>
    <s v=""/>
    <s v="08000"/>
    <s v="Ardennes"/>
    <x v="9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159478956441"/>
    <s v="2"/>
    <s v="CU"/>
    <s v=""/>
    <n v="9"/>
    <s v="SERVC"/>
    <s v="GRD-F027"/>
    <m/>
    <m/>
    <m/>
    <m/>
    <s v="FC000044"/>
    <s v="2"/>
    <s v="MU"/>
    <m/>
    <n v="9"/>
    <s v=""/>
    <s v="13013"/>
    <s v="Bouches du Rhône"/>
    <x v="8"/>
    <s v="GINKO"/>
    <s v="LINKY"/>
    <n v="2"/>
    <b v="1"/>
    <b v="1"/>
    <b v="0"/>
    <b v="1"/>
    <b v="0"/>
    <b v="0"/>
    <s v="F130B"/>
    <x v="0"/>
    <n v="0.01"/>
    <n v="0.01"/>
    <m/>
    <m/>
  </r>
  <r>
    <s v="25479015895687"/>
    <s v="2"/>
    <s v="CU"/>
    <s v=""/>
    <n v="6"/>
    <s v="SERVC"/>
    <s v="GRD-F051"/>
    <m/>
    <m/>
    <m/>
    <m/>
    <s v="FC000142"/>
    <s v="2"/>
    <s v="CU"/>
    <m/>
    <n v="6"/>
    <s v=""/>
    <s v="06500"/>
    <s v="Alpes-Maritimes"/>
    <x v="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5131548466509"/>
    <s v="1"/>
    <s v="CU"/>
    <s v=""/>
    <n v="6"/>
    <s v="SERVC"/>
    <s v="GRD-F051"/>
    <m/>
    <m/>
    <m/>
    <m/>
    <s v="FC000147"/>
    <s v="1"/>
    <s v="CU"/>
    <m/>
    <n v="6"/>
    <s v=""/>
    <s v="54250"/>
    <s v="Meurthe-et-Moselle"/>
    <x v="1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233719188108"/>
    <s v="1"/>
    <s v="CU"/>
    <s v=""/>
    <n v="6"/>
    <s v="SERVC"/>
    <s v="GRD-F027"/>
    <m/>
    <m/>
    <m/>
    <m/>
    <s v="FC000022"/>
    <s v="1"/>
    <s v="CU"/>
    <m/>
    <n v="6"/>
    <s v=""/>
    <s v="59300"/>
    <s v="Nord"/>
    <x v="2"/>
    <s v="GINKO"/>
    <s v="LINKY"/>
    <n v="2"/>
    <b v="1"/>
    <b v="1"/>
    <b v="0"/>
    <b v="0"/>
    <b v="0"/>
    <b v="0"/>
    <s v="F130B"/>
    <x v="0"/>
    <n v="0.01"/>
    <n v="0.01"/>
    <m/>
    <m/>
  </r>
  <r>
    <s v="07181765502251"/>
    <s v="2"/>
    <s v="MU"/>
    <s v=""/>
    <n v="6"/>
    <s v="SERVC"/>
    <s v="GRD-F051"/>
    <m/>
    <m/>
    <m/>
    <m/>
    <s v="FC000142"/>
    <s v="2"/>
    <s v="MU"/>
    <m/>
    <n v="6"/>
    <s v=""/>
    <s v="75010"/>
    <s v="Par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246020233334"/>
    <s v="1"/>
    <s v="CU"/>
    <s v=""/>
    <n v="9"/>
    <s v="SERVC"/>
    <s v="GRD-F027"/>
    <m/>
    <m/>
    <m/>
    <m/>
    <s v="FC000022"/>
    <s v="1"/>
    <s v="CU"/>
    <m/>
    <n v="9"/>
    <s v=""/>
    <s v="59300"/>
    <s v="Nord"/>
    <x v="2"/>
    <s v="GINKO"/>
    <s v="LINKY"/>
    <n v="2"/>
    <b v="1"/>
    <b v="1"/>
    <b v="0"/>
    <b v="0"/>
    <b v="0"/>
    <b v="0"/>
    <s v="F130B"/>
    <x v="0"/>
    <n v="0.01"/>
    <n v="0.01"/>
    <m/>
    <m/>
  </r>
  <r>
    <s v="09535600521688"/>
    <s v="2"/>
    <s v="MU"/>
    <s v=""/>
    <n v="6"/>
    <s v="SERVC"/>
    <s v="GRD-F027"/>
    <m/>
    <m/>
    <m/>
    <m/>
    <s v="FC000044"/>
    <s v="2"/>
    <s v="MU"/>
    <m/>
    <n v="6"/>
    <s v=""/>
    <s v="45000"/>
    <s v="Loiret"/>
    <x v="1"/>
    <s v="GINKO"/>
    <s v="LINKY"/>
    <n v="1"/>
    <b v="1"/>
    <b v="1"/>
    <b v="0"/>
    <b v="0"/>
    <b v="0"/>
    <b v="0"/>
    <s v="F130B"/>
    <x v="0"/>
    <n v="0.01"/>
    <n v="0.01"/>
    <m/>
    <m/>
  </r>
  <r>
    <s v="12108104179215"/>
    <s v="1"/>
    <s v="CU"/>
    <s v=""/>
    <n v="9"/>
    <s v="SERVC"/>
    <s v="GRD-F051"/>
    <m/>
    <m/>
    <m/>
    <m/>
    <s v="FC000142"/>
    <s v="2"/>
    <s v="MU"/>
    <m/>
    <n v="9"/>
    <s v=""/>
    <s v="71110"/>
    <s v="Saône-et-Loire"/>
    <x v="18"/>
    <s v="GINKO"/>
    <s v="CBE"/>
    <n v="0"/>
    <b v="0"/>
    <b v="0"/>
    <b v="1"/>
    <b v="1"/>
    <b v="0"/>
    <b v="0"/>
    <s v="Non recevable"/>
    <x v="1"/>
    <n v="0"/>
    <n v="0"/>
    <s v="Le contrat cible et le contrat source sont identiques"/>
    <m/>
  </r>
  <r>
    <s v="12137771284298"/>
    <s v="1"/>
    <s v="CU"/>
    <s v=""/>
    <n v="6"/>
    <s v="SERVC"/>
    <s v="GRD-F027"/>
    <m/>
    <m/>
    <m/>
    <m/>
    <s v="FC000022"/>
    <s v="1"/>
    <s v="CU"/>
    <m/>
    <n v="6"/>
    <s v=""/>
    <s v="71118"/>
    <s v="Saône-et-Loire"/>
    <x v="18"/>
    <s v="GINKO"/>
    <s v="LINKY"/>
    <n v="2"/>
    <b v="1"/>
    <b v="1"/>
    <b v="0"/>
    <b v="0"/>
    <b v="0"/>
    <b v="0"/>
    <s v="F130B"/>
    <x v="0"/>
    <n v="0.01"/>
    <n v="0.01"/>
    <m/>
    <m/>
  </r>
  <r>
    <s v="12169030330605"/>
    <s v="1"/>
    <s v="CU"/>
    <s v=""/>
    <n v="6"/>
    <s v="SERVC"/>
    <s v="GRD-F051"/>
    <m/>
    <m/>
    <m/>
    <m/>
    <s v="FC000147"/>
    <s v="1"/>
    <s v="CU"/>
    <m/>
    <n v="6"/>
    <s v=""/>
    <s v="71230"/>
    <s v="Saône-et-Loire"/>
    <x v="1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2201447124473"/>
    <s v="1"/>
    <s v="CU"/>
    <s v=""/>
    <n v="6"/>
    <s v="SERVC"/>
    <s v="GRD-F006"/>
    <m/>
    <m/>
    <m/>
    <m/>
    <s v="FC000018"/>
    <s v="1"/>
    <s v="CU"/>
    <m/>
    <n v="6"/>
    <s v=""/>
    <s v="21850"/>
    <s v="Côte d'Or"/>
    <x v="18"/>
    <s v="GINKO"/>
    <s v="LINKY"/>
    <n v="2"/>
    <b v="1"/>
    <b v="1"/>
    <b v="0"/>
    <b v="0"/>
    <b v="0"/>
    <b v="0"/>
    <s v="F130B"/>
    <x v="0"/>
    <n v="0.01"/>
    <n v="0.01"/>
    <m/>
    <m/>
  </r>
  <r>
    <s v="01152677212232"/>
    <s v="1"/>
    <s v="CU"/>
    <s v=""/>
    <n v="9"/>
    <s v="SERVC"/>
    <s v="GRD-F051"/>
    <m/>
    <m/>
    <m/>
    <m/>
    <s v="FC000147"/>
    <s v="1"/>
    <s v="CU"/>
    <m/>
    <n v="9"/>
    <s v=""/>
    <s v="59000"/>
    <s v="Nord"/>
    <x v="2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216497820945"/>
    <s v="2"/>
    <s v="MU"/>
    <s v=""/>
    <n v="9"/>
    <s v="SERVC"/>
    <s v="GRD-F051"/>
    <m/>
    <m/>
    <m/>
    <m/>
    <s v="FC000142"/>
    <s v="2"/>
    <s v="MU"/>
    <m/>
    <n v="9"/>
    <s v=""/>
    <s v="59970"/>
    <s v="Nord"/>
    <x v="2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779739484200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x v="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258031762342"/>
    <s v="1"/>
    <s v="CU"/>
    <s v=""/>
    <n v="12"/>
    <s v="SERVC"/>
    <s v="GRD-F051"/>
    <m/>
    <m/>
    <m/>
    <m/>
    <s v="FC000147"/>
    <s v="1"/>
    <s v="CU"/>
    <m/>
    <n v="12"/>
    <s v=""/>
    <s v="59230"/>
    <s v="Nord"/>
    <x v="2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2183502155970"/>
    <s v="1"/>
    <s v="CU"/>
    <s v=""/>
    <n v="9"/>
    <s v="SERVC"/>
    <s v="PROTOC-501"/>
    <m/>
    <m/>
    <m/>
    <m/>
    <s v="FC000010"/>
    <s v="1"/>
    <s v="CU"/>
    <m/>
    <n v="9"/>
    <s v=""/>
    <s v="71450"/>
    <s v="Saône-et-Loire"/>
    <x v="18"/>
    <s v="GINKO"/>
    <s v="LINKY"/>
    <n v="2"/>
    <b v="1"/>
    <b v="1"/>
    <b v="0"/>
    <b v="0"/>
    <b v="0"/>
    <b v="0"/>
    <s v="F130B"/>
    <x v="0"/>
    <n v="0.01"/>
    <n v="0.01"/>
    <m/>
    <m/>
  </r>
  <r>
    <s v="12220984029366"/>
    <s v="1"/>
    <s v="CU"/>
    <s v=""/>
    <n v="6"/>
    <s v="SERVC"/>
    <s v="GRD-F051"/>
    <m/>
    <m/>
    <m/>
    <m/>
    <s v="FC000147"/>
    <s v="1"/>
    <s v="CU"/>
    <m/>
    <n v="6"/>
    <s v=""/>
    <s v="21000"/>
    <s v="Côte d'Or"/>
    <x v="1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14616307966"/>
    <s v="2"/>
    <s v="CU"/>
    <s v=""/>
    <n v="12"/>
    <s v="SERVC"/>
    <s v="GRD-F006"/>
    <m/>
    <m/>
    <m/>
    <m/>
    <s v="FC000040"/>
    <s v="2"/>
    <s v="MU"/>
    <m/>
    <n v="12"/>
    <s v=""/>
    <s v="44860"/>
    <s v="Loire-Atlantique"/>
    <x v="0"/>
    <s v="GINKO"/>
    <s v="LINKY"/>
    <n v="2"/>
    <b v="1"/>
    <b v="1"/>
    <b v="0"/>
    <b v="1"/>
    <b v="0"/>
    <b v="0"/>
    <s v="F130B"/>
    <x v="0"/>
    <n v="0.01"/>
    <n v="0.01"/>
    <m/>
    <m/>
  </r>
  <r>
    <s v="14234732230706"/>
    <s v="1"/>
    <s v="CU"/>
    <s v=""/>
    <n v="6"/>
    <s v="SERVC"/>
    <s v="GRD-F051"/>
    <m/>
    <m/>
    <m/>
    <m/>
    <s v="FC000147"/>
    <s v="1"/>
    <s v="CU"/>
    <m/>
    <n v="6"/>
    <s v=""/>
    <s v="4462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1267438471755"/>
    <s v="2"/>
    <s v="CU"/>
    <s v=""/>
    <n v="15"/>
    <s v="SERVC"/>
    <s v="GRD-F027"/>
    <m/>
    <m/>
    <m/>
    <m/>
    <s v="FC000044"/>
    <s v="2"/>
    <s v="CU"/>
    <m/>
    <n v="15"/>
    <s v=""/>
    <s v="78980"/>
    <s v="Yvelines"/>
    <x v="4"/>
    <s v="GINKO"/>
    <s v="LINKY"/>
    <n v="2"/>
    <b v="1"/>
    <b v="1"/>
    <b v="0"/>
    <b v="0"/>
    <b v="0"/>
    <b v="0"/>
    <s v="F130B"/>
    <x v="0"/>
    <n v="0.01"/>
    <n v="0.01"/>
    <m/>
    <m/>
  </r>
  <r>
    <s v="22203328447220"/>
    <s v="2"/>
    <s v="CU"/>
    <s v=""/>
    <n v="15"/>
    <s v="SERVC"/>
    <s v="GRD-F051"/>
    <m/>
    <m/>
    <m/>
    <m/>
    <s v="FC000142"/>
    <s v="2"/>
    <s v="CU"/>
    <m/>
    <n v="15"/>
    <s v=""/>
    <s v="91140"/>
    <s v="Esson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2483502142714"/>
    <s v="1"/>
    <s v="CU"/>
    <s v=""/>
    <n v="9"/>
    <s v="SERVC"/>
    <s v="GRD-F051"/>
    <m/>
    <m/>
    <m/>
    <m/>
    <s v="FC000147"/>
    <s v="1"/>
    <s v="CU"/>
    <m/>
    <n v="9"/>
    <s v=""/>
    <s v="93160"/>
    <s v="Seine-St-Den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3187554184220"/>
    <s v="1"/>
    <s v="CU"/>
    <s v=""/>
    <n v="9"/>
    <s v="SERVC"/>
    <s v="GRD-F051"/>
    <m/>
    <m/>
    <m/>
    <m/>
    <s v="FC000147"/>
    <s v="1"/>
    <s v="CU"/>
    <m/>
    <n v="9"/>
    <s v=""/>
    <s v="31300"/>
    <s v="Haute-Garonne"/>
    <x v="6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3237915960863"/>
    <s v="1"/>
    <s v="CU"/>
    <s v=""/>
    <n v="6"/>
    <s v="SERVC"/>
    <s v="GRD-F051"/>
    <m/>
    <m/>
    <m/>
    <m/>
    <s v="FC000147"/>
    <s v="1"/>
    <s v="MU4"/>
    <m/>
    <n v="6"/>
    <s v=""/>
    <s v="81150"/>
    <s v="Tarn"/>
    <x v="6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23268306795686"/>
    <s v="2"/>
    <s v="CU"/>
    <s v=""/>
    <n v="18"/>
    <s v="SERVC"/>
    <s v="GRD-F051"/>
    <m/>
    <m/>
    <m/>
    <m/>
    <s v="FC000142"/>
    <s v="2"/>
    <s v="CU"/>
    <m/>
    <n v="18"/>
    <s v=""/>
    <s v="81100"/>
    <s v="Tarn"/>
    <x v="6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390882606201"/>
    <s v="1"/>
    <s v="CU"/>
    <s v=""/>
    <n v="6"/>
    <s v="SERVC"/>
    <s v="GRD-F051"/>
    <m/>
    <m/>
    <m/>
    <m/>
    <s v="FC000147"/>
    <s v="1"/>
    <s v="CU"/>
    <m/>
    <n v="6"/>
    <s v=""/>
    <s v="34070"/>
    <s v="Hérault"/>
    <x v="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2110853805435"/>
    <s v="2"/>
    <s v="CU"/>
    <s v=""/>
    <n v="6"/>
    <s v="SERVC"/>
    <s v="GRD-F027"/>
    <m/>
    <m/>
    <m/>
    <m/>
    <s v="FC000044"/>
    <s v="2"/>
    <s v="CU"/>
    <m/>
    <n v="6"/>
    <s v=""/>
    <s v="71200"/>
    <s v="Saône-et-Loire"/>
    <x v="18"/>
    <s v="GINKO"/>
    <s v="LINKY"/>
    <n v="2"/>
    <b v="1"/>
    <b v="1"/>
    <b v="0"/>
    <b v="0"/>
    <b v="0"/>
    <b v="0"/>
    <s v="F130B"/>
    <x v="0"/>
    <n v="0.01"/>
    <n v="0.01"/>
    <m/>
    <m/>
  </r>
  <r>
    <s v="14206656951307"/>
    <s v="2"/>
    <s v="MU"/>
    <s v=""/>
    <n v="15"/>
    <s v="SERVC"/>
    <s v="GRD-F051"/>
    <m/>
    <m/>
    <m/>
    <m/>
    <s v="FC000142"/>
    <s v="2"/>
    <s v="MU"/>
    <m/>
    <n v="15"/>
    <s v=""/>
    <s v="4480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95802994699"/>
    <s v="1"/>
    <s v="CU"/>
    <s v=""/>
    <n v="6"/>
    <s v="SERVC"/>
    <s v="GRD-F006"/>
    <m/>
    <m/>
    <m/>
    <m/>
    <s v="FC000018"/>
    <s v="1"/>
    <s v="CU"/>
    <m/>
    <n v="6"/>
    <s v=""/>
    <s v="44340"/>
    <s v="Loire-Atlantique"/>
    <x v="0"/>
    <s v="GINKO"/>
    <s v="LINKY"/>
    <n v="2"/>
    <b v="1"/>
    <b v="1"/>
    <b v="0"/>
    <b v="0"/>
    <b v="0"/>
    <b v="0"/>
    <s v="F130B"/>
    <x v="0"/>
    <n v="0.01"/>
    <n v="0.01"/>
    <m/>
    <m/>
  </r>
  <r>
    <s v="14356584595606"/>
    <s v="1"/>
    <s v="CU"/>
    <s v=""/>
    <n v="6"/>
    <s v="SERVC"/>
    <s v="GRD-F027"/>
    <m/>
    <m/>
    <m/>
    <m/>
    <s v="FC000022"/>
    <s v="1"/>
    <s v="CU"/>
    <m/>
    <n v="6"/>
    <s v=""/>
    <s v="85600"/>
    <s v="Vendée"/>
    <x v="0"/>
    <s v="GINKO"/>
    <s v="LINKY"/>
    <n v="2"/>
    <b v="1"/>
    <b v="1"/>
    <b v="0"/>
    <b v="0"/>
    <b v="0"/>
    <b v="0"/>
    <s v="F130B"/>
    <x v="0"/>
    <n v="0.01"/>
    <n v="0.01"/>
    <m/>
    <m/>
  </r>
  <r>
    <s v="14453690288654"/>
    <s v="1"/>
    <s v="CU"/>
    <s v=""/>
    <n v="6"/>
    <s v="SERVC"/>
    <s v="PROTOC-501"/>
    <m/>
    <m/>
    <m/>
    <m/>
    <s v="FC000010"/>
    <s v="1"/>
    <s v="MU4"/>
    <m/>
    <n v="6"/>
    <s v=""/>
    <s v="35160"/>
    <s v="Ille-et-Vilaine"/>
    <x v="3"/>
    <s v="GINKO"/>
    <s v="LINKY"/>
    <n v="2"/>
    <b v="1"/>
    <b v="1"/>
    <b v="0"/>
    <b v="1"/>
    <b v="0"/>
    <b v="0"/>
    <s v="F130B"/>
    <x v="0"/>
    <n v="0.01"/>
    <n v="0.01"/>
    <m/>
    <m/>
  </r>
  <r>
    <s v="14485672926030"/>
    <s v="2"/>
    <s v="MU"/>
    <s v=""/>
    <n v="6"/>
    <s v="SERVC"/>
    <s v="PROTOC-501"/>
    <m/>
    <m/>
    <m/>
    <m/>
    <s v="FC000032"/>
    <s v="2"/>
    <s v="MU"/>
    <m/>
    <n v="6"/>
    <s v=""/>
    <s v="35720"/>
    <s v="Ille-et-Vilaine"/>
    <x v="3"/>
    <s v="GINKO"/>
    <s v="LINKY"/>
    <n v="2"/>
    <b v="1"/>
    <b v="1"/>
    <b v="0"/>
    <b v="0"/>
    <b v="0"/>
    <b v="0"/>
    <s v="F130B"/>
    <x v="0"/>
    <n v="0.01"/>
    <n v="0.01"/>
    <m/>
    <m/>
  </r>
  <r>
    <s v="15431259006722"/>
    <s v="2"/>
    <s v="MU"/>
    <s v=""/>
    <n v="9"/>
    <s v="SERVC"/>
    <s v="GRD-F051"/>
    <m/>
    <m/>
    <m/>
    <m/>
    <s v="FC000142"/>
    <s v="2"/>
    <s v="MU"/>
    <m/>
    <n v="9"/>
    <s v=""/>
    <s v="79000"/>
    <s v="Deux-Sèvres"/>
    <x v="13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6128798659892"/>
    <s v="2"/>
    <s v="CU"/>
    <s v=""/>
    <n v="9"/>
    <s v="SERVC"/>
    <s v="GRD-F052"/>
    <m/>
    <m/>
    <m/>
    <m/>
    <s v="FC000145"/>
    <s v="2"/>
    <s v="CU"/>
    <m/>
    <n v="9"/>
    <s v=""/>
    <s v="33450"/>
    <s v="Gironde"/>
    <x v="19"/>
    <s v="GINKO"/>
    <s v="LINKY"/>
    <n v="2"/>
    <b v="1"/>
    <b v="1"/>
    <b v="0"/>
    <b v="0"/>
    <b v="0"/>
    <b v="0"/>
    <s v="F130B"/>
    <x v="0"/>
    <n v="0.01"/>
    <n v="0.01"/>
    <m/>
    <m/>
  </r>
  <r>
    <s v="17145151895189"/>
    <s v="1"/>
    <s v="CU"/>
    <s v=""/>
    <n v="6"/>
    <s v="SERVC"/>
    <s v="GRD-F001"/>
    <m/>
    <m/>
    <m/>
    <m/>
    <s v="FC000063"/>
    <s v="1"/>
    <s v="CU"/>
    <m/>
    <n v="6"/>
    <s v=""/>
    <s v="63670"/>
    <s v="Puy-de-Dôme"/>
    <x v="14"/>
    <s v="GINKO"/>
    <s v="LINKY"/>
    <n v="2"/>
    <b v="1"/>
    <b v="1"/>
    <b v="0"/>
    <b v="0"/>
    <b v="0"/>
    <b v="0"/>
    <s v="F130B"/>
    <x v="0"/>
    <n v="0.01"/>
    <n v="0.01"/>
    <m/>
    <m/>
  </r>
  <r>
    <s v="17394355985724"/>
    <s v="1"/>
    <s v="CU"/>
    <s v=""/>
    <n v="6"/>
    <s v="SERVC"/>
    <s v="GRD-F051"/>
    <m/>
    <m/>
    <m/>
    <m/>
    <s v="FC000147"/>
    <s v="1"/>
    <s v="CU"/>
    <m/>
    <n v="6"/>
    <s v=""/>
    <s v="03200"/>
    <s v="Allier"/>
    <x v="1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2141533935685"/>
    <s v="1"/>
    <s v="CU"/>
    <s v=""/>
    <n v="6"/>
    <s v="SERVC"/>
    <s v="PROTOC-501"/>
    <m/>
    <m/>
    <m/>
    <m/>
    <s v="FC000010"/>
    <s v="1"/>
    <s v="CU"/>
    <m/>
    <n v="6"/>
    <s v=""/>
    <s v="76650"/>
    <s v="Seine-Maritime"/>
    <x v="16"/>
    <s v="GINKO"/>
    <s v="LINKY"/>
    <n v="2"/>
    <b v="1"/>
    <b v="1"/>
    <b v="0"/>
    <b v="0"/>
    <b v="0"/>
    <b v="0"/>
    <s v="F130B"/>
    <x v="0"/>
    <n v="0.01"/>
    <n v="0.01"/>
    <m/>
    <m/>
  </r>
  <r>
    <s v="19835745252240"/>
    <s v="1"/>
    <s v="CU"/>
    <s v=""/>
    <n v="9"/>
    <s v="SERVC"/>
    <s v="GRD-F051"/>
    <m/>
    <m/>
    <m/>
    <m/>
    <s v="FC000147"/>
    <s v="1"/>
    <s v="MU4"/>
    <m/>
    <n v="9"/>
    <s v=""/>
    <s v="42300"/>
    <s v="Loire"/>
    <x v="15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21146599040177"/>
    <s v="1"/>
    <s v="CU"/>
    <s v=""/>
    <n v="6"/>
    <s v="SERVC"/>
    <s v="PROTOC-501"/>
    <m/>
    <m/>
    <m/>
    <m/>
    <s v="FC000010"/>
    <s v="1"/>
    <s v="CU"/>
    <m/>
    <n v="6"/>
    <s v=""/>
    <s v="78610"/>
    <s v="Yvelines"/>
    <x v="4"/>
    <s v="GINKO"/>
    <s v="LINKY"/>
    <n v="2"/>
    <b v="1"/>
    <b v="1"/>
    <b v="0"/>
    <b v="0"/>
    <b v="0"/>
    <b v="0"/>
    <s v="F130B"/>
    <x v="0"/>
    <n v="0.01"/>
    <n v="0.01"/>
    <m/>
    <m/>
  </r>
  <r>
    <s v="02156005767382"/>
    <s v="1"/>
    <s v="CU"/>
    <s v=""/>
    <n v="6"/>
    <s v="SERVC"/>
    <s v="GRD-F051"/>
    <m/>
    <m/>
    <m/>
    <m/>
    <s v="FC000147"/>
    <s v="1"/>
    <s v="CU"/>
    <m/>
    <n v="6"/>
    <s v=""/>
    <s v="76520"/>
    <s v="Seine-Maritime"/>
    <x v="16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787409527772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x v="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890882723968"/>
    <s v="2"/>
    <s v="MU"/>
    <s v=""/>
    <n v="6"/>
    <s v="SERVC"/>
    <s v="PROTOC-501"/>
    <m/>
    <m/>
    <m/>
    <m/>
    <s v="FC000032"/>
    <s v="2"/>
    <s v="MU"/>
    <m/>
    <n v="6"/>
    <s v=""/>
    <s v="56100"/>
    <s v="Morbihan"/>
    <x v="3"/>
    <s v="GINKO"/>
    <s v="LINKY"/>
    <n v="2"/>
    <b v="1"/>
    <b v="1"/>
    <b v="0"/>
    <b v="0"/>
    <b v="0"/>
    <b v="0"/>
    <s v="F130B"/>
    <x v="0"/>
    <n v="0.01"/>
    <n v="0.01"/>
    <m/>
    <m/>
  </r>
  <r>
    <s v="07347901534794"/>
    <s v="1"/>
    <s v="CU"/>
    <s v=""/>
    <n v="6"/>
    <s v="SERVC"/>
    <s v="GRD-F051"/>
    <m/>
    <m/>
    <m/>
    <m/>
    <s v="FC000147"/>
    <s v="1"/>
    <s v="CU"/>
    <m/>
    <n v="6"/>
    <s v=""/>
    <s v="75013"/>
    <s v="Par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108827769167"/>
    <s v="2"/>
    <s v="CU"/>
    <s v=""/>
    <n v="9"/>
    <s v="SERVC"/>
    <s v="PROTOC-501"/>
    <m/>
    <m/>
    <m/>
    <m/>
    <s v="FC000032"/>
    <s v="2"/>
    <s v="MU"/>
    <m/>
    <n v="9"/>
    <s v=""/>
    <s v="72200"/>
    <s v="Sarthe"/>
    <x v="0"/>
    <s v="GINKO"/>
    <s v="LINKY"/>
    <n v="2"/>
    <b v="1"/>
    <b v="1"/>
    <b v="0"/>
    <b v="1"/>
    <b v="0"/>
    <b v="0"/>
    <s v="F130B"/>
    <x v="0"/>
    <n v="0.01"/>
    <n v="0.01"/>
    <m/>
    <m/>
  </r>
  <r>
    <s v="09315918941515"/>
    <s v="1"/>
    <s v="CU"/>
    <s v=""/>
    <n v="6"/>
    <s v="SERVC"/>
    <s v="GRD-F051"/>
    <m/>
    <m/>
    <m/>
    <m/>
    <s v="FC000147"/>
    <s v="1"/>
    <s v="CU"/>
    <m/>
    <n v="6"/>
    <s v=""/>
    <s v="49300"/>
    <s v="Maine-et-Loir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717944991689"/>
    <s v="1"/>
    <s v="CU"/>
    <s v=""/>
    <n v="6"/>
    <s v="SERVC"/>
    <s v="GRD-F001"/>
    <m/>
    <m/>
    <m/>
    <m/>
    <s v="FC000063"/>
    <s v="1"/>
    <s v="MU"/>
    <m/>
    <n v="6"/>
    <s v=""/>
    <s v="37000"/>
    <s v="Indre-et-Loire"/>
    <x v="1"/>
    <s v="GINKO"/>
    <s v="LINKY"/>
    <n v="2"/>
    <b v="1"/>
    <b v="1"/>
    <b v="0"/>
    <b v="1"/>
    <b v="0"/>
    <b v="0"/>
    <s v="F130B"/>
    <x v="0"/>
    <n v="0.01"/>
    <n v="0.01"/>
    <m/>
    <m/>
  </r>
  <r>
    <s v="14269753962495"/>
    <s v="1"/>
    <s v="CU"/>
    <s v=""/>
    <n v="6"/>
    <s v="SERVC"/>
    <s v="PROTOC-501"/>
    <m/>
    <m/>
    <m/>
    <m/>
    <s v="FC000010"/>
    <s v="1"/>
    <s v="CU"/>
    <m/>
    <n v="6"/>
    <s v=""/>
    <s v="44600"/>
    <s v="Loire-Atlantique"/>
    <x v="0"/>
    <s v="GINKO"/>
    <s v="LINKY"/>
    <n v="2"/>
    <b v="1"/>
    <b v="1"/>
    <b v="0"/>
    <b v="0"/>
    <b v="0"/>
    <b v="0"/>
    <s v="F130B"/>
    <x v="0"/>
    <n v="0.01"/>
    <n v="0.01"/>
    <m/>
    <m/>
  </r>
  <r>
    <s v="14296671365453"/>
    <s v="1"/>
    <s v="CU"/>
    <s v=""/>
    <n v="6"/>
    <s v="SERVC"/>
    <s v="PROTOC-501"/>
    <m/>
    <m/>
    <m/>
    <m/>
    <s v="FC000010"/>
    <s v="1"/>
    <s v="MU4"/>
    <m/>
    <n v="6"/>
    <s v=""/>
    <s v="44230"/>
    <s v="Loire-Atlantique"/>
    <x v="0"/>
    <s v="GINKO"/>
    <s v="LINKY"/>
    <n v="2"/>
    <b v="1"/>
    <b v="1"/>
    <b v="0"/>
    <b v="1"/>
    <b v="0"/>
    <b v="0"/>
    <s v="F130B"/>
    <x v="0"/>
    <n v="0.01"/>
    <n v="0.01"/>
    <m/>
    <m/>
  </r>
  <r>
    <s v="14500868247269"/>
    <s v="2"/>
    <s v="MU"/>
    <s v=""/>
    <n v="9"/>
    <s v="SERVC"/>
    <s v="GRD-F027"/>
    <m/>
    <m/>
    <m/>
    <m/>
    <s v="FC000044"/>
    <s v="2"/>
    <s v="MU"/>
    <m/>
    <n v="9"/>
    <s v=""/>
    <s v="22440"/>
    <s v="Côtes d'Armor"/>
    <x v="3"/>
    <s v="GINKO"/>
    <s v="LINKY"/>
    <n v="2"/>
    <b v="1"/>
    <b v="1"/>
    <b v="0"/>
    <b v="0"/>
    <b v="0"/>
    <b v="0"/>
    <s v="F130B"/>
    <x v="0"/>
    <n v="0.01"/>
    <n v="0.01"/>
    <m/>
    <m/>
  </r>
  <r>
    <s v="14544138852489"/>
    <s v="2"/>
    <s v="CU"/>
    <s v=""/>
    <n v="12"/>
    <s v="SERVC"/>
    <s v="GRD-F051"/>
    <m/>
    <m/>
    <m/>
    <m/>
    <s v="FC000142"/>
    <s v="2"/>
    <s v="MU"/>
    <m/>
    <n v="12"/>
    <s v=""/>
    <s v="22130"/>
    <s v="Côtes d'Armor"/>
    <x v="3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14706656969382"/>
    <s v="2"/>
    <s v="CU"/>
    <s v=""/>
    <n v="12"/>
    <s v="SERVC"/>
    <s v="PROTOC-501"/>
    <m/>
    <m/>
    <m/>
    <m/>
    <s v="FC000032"/>
    <s v="2"/>
    <s v="MU"/>
    <m/>
    <n v="12"/>
    <s v=""/>
    <s v="29910"/>
    <s v="Finistère"/>
    <x v="3"/>
    <s v="GINKO"/>
    <s v="LINKY"/>
    <n v="2"/>
    <b v="1"/>
    <b v="1"/>
    <b v="0"/>
    <b v="1"/>
    <b v="0"/>
    <b v="0"/>
    <s v="F130B"/>
    <x v="0"/>
    <n v="0.01"/>
    <n v="0.01"/>
    <m/>
    <m/>
  </r>
  <r>
    <s v="15591751061656"/>
    <s v="1"/>
    <s v="CU"/>
    <s v=""/>
    <n v="9"/>
    <s v="SERVC"/>
    <s v="GRD-F027"/>
    <m/>
    <m/>
    <m/>
    <m/>
    <s v="FC000044"/>
    <s v="2"/>
    <s v="CU"/>
    <m/>
    <n v="9"/>
    <s v=""/>
    <s v="87280"/>
    <s v="Haute-Vienne"/>
    <x v="20"/>
    <s v="GINKO"/>
    <s v="CBE"/>
    <n v="0"/>
    <b v="0"/>
    <b v="1"/>
    <b v="1"/>
    <b v="0"/>
    <b v="0"/>
    <b v="0"/>
    <s v="F130B"/>
    <x v="2"/>
    <n v="0.01"/>
    <n v="1"/>
    <m/>
    <s v="Changement de structure tarifaire sur compteur CBE"/>
  </r>
  <r>
    <s v="16165846545015"/>
    <s v="2"/>
    <s v="MU"/>
    <s v=""/>
    <n v="6"/>
    <s v="SERVC"/>
    <s v="GRD-F051"/>
    <m/>
    <m/>
    <m/>
    <m/>
    <s v="FC000142"/>
    <s v="2"/>
    <s v="MU"/>
    <m/>
    <n v="6"/>
    <s v=""/>
    <s v="33800"/>
    <s v="Gironde"/>
    <x v="19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6478147570520"/>
    <s v="1"/>
    <s v="CU"/>
    <s v=""/>
    <n v="6"/>
    <s v="SERVC"/>
    <s v="GRD-F006"/>
    <m/>
    <m/>
    <m/>
    <m/>
    <s v="FC000018"/>
    <s v="1"/>
    <s v="CU"/>
    <m/>
    <n v="6"/>
    <s v=""/>
    <s v="40465"/>
    <s v="Landes"/>
    <x v="19"/>
    <s v="GINKO"/>
    <s v="LINKY"/>
    <n v="2"/>
    <b v="1"/>
    <b v="1"/>
    <b v="0"/>
    <b v="0"/>
    <b v="0"/>
    <b v="0"/>
    <s v="F130B"/>
    <x v="0"/>
    <n v="0.01"/>
    <n v="0.01"/>
    <m/>
    <m/>
  </r>
  <r>
    <s v="17183646787958"/>
    <s v="2"/>
    <s v="MU"/>
    <s v=""/>
    <n v="9"/>
    <s v="SERVC"/>
    <s v="GRD-F051"/>
    <m/>
    <m/>
    <m/>
    <m/>
    <s v="FC000142"/>
    <s v="2"/>
    <s v="MU"/>
    <m/>
    <n v="9"/>
    <s v=""/>
    <s v="63000"/>
    <s v="Puy-de-Dôme"/>
    <x v="1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9117221256728"/>
    <s v="2"/>
    <s v="MU"/>
    <s v=""/>
    <n v="6"/>
    <s v="SERVC"/>
    <s v="GRD-F051"/>
    <m/>
    <m/>
    <m/>
    <m/>
    <s v="FC000142"/>
    <s v="2"/>
    <s v="MU"/>
    <m/>
    <n v="6"/>
    <s v=""/>
    <s v="69006"/>
    <s v="Rhône"/>
    <x v="1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9140376265022"/>
    <s v="1"/>
    <s v="CU"/>
    <s v=""/>
    <n v="6"/>
    <s v="SERVC"/>
    <s v="PROTOC-501"/>
    <m/>
    <m/>
    <m/>
    <m/>
    <s v="FC000010"/>
    <s v="1"/>
    <s v="CU"/>
    <m/>
    <n v="6"/>
    <s v=""/>
    <s v="69006"/>
    <s v="Rhône"/>
    <x v="15"/>
    <s v="GINKO"/>
    <s v="LINKY"/>
    <n v="2"/>
    <b v="1"/>
    <b v="1"/>
    <b v="0"/>
    <b v="0"/>
    <b v="0"/>
    <b v="0"/>
    <s v="F130B"/>
    <x v="0"/>
    <n v="0.01"/>
    <n v="0.01"/>
    <m/>
    <m/>
  </r>
  <r>
    <s v="19569609169156"/>
    <s v="2"/>
    <s v="MU"/>
    <s v=""/>
    <n v="9"/>
    <s v="SERVC"/>
    <s v="GRD-F051"/>
    <m/>
    <m/>
    <m/>
    <m/>
    <s v="FC000142"/>
    <s v="2"/>
    <s v="MU"/>
    <m/>
    <n v="9"/>
    <s v=""/>
    <s v="74100"/>
    <s v="Haute-Savoie"/>
    <x v="1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9986975337177"/>
    <s v="1"/>
    <s v="CU"/>
    <s v=""/>
    <n v="6"/>
    <s v="SERVC"/>
    <s v="GRD-F006"/>
    <m/>
    <m/>
    <m/>
    <m/>
    <s v="FC000018"/>
    <s v="1"/>
    <s v="CU"/>
    <m/>
    <n v="6"/>
    <s v=""/>
    <s v="01000"/>
    <s v="Ain"/>
    <x v="15"/>
    <s v="GINKO"/>
    <s v="LINKY"/>
    <n v="1"/>
    <b v="1"/>
    <b v="1"/>
    <b v="0"/>
    <b v="0"/>
    <b v="0"/>
    <b v="0"/>
    <s v="F130B"/>
    <x v="0"/>
    <n v="0.01"/>
    <n v="0.01"/>
    <m/>
    <m/>
  </r>
  <r>
    <s v="07321852338565"/>
    <s v="2"/>
    <s v="MU"/>
    <s v=""/>
    <n v="6"/>
    <s v="SERVC"/>
    <s v="GRD-F051"/>
    <m/>
    <m/>
    <m/>
    <m/>
    <s v="FC000142"/>
    <s v="2"/>
    <s v="MU"/>
    <m/>
    <n v="6"/>
    <s v=""/>
    <s v="75013"/>
    <s v="Par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53256065017"/>
    <s v="1"/>
    <s v="CU"/>
    <s v=""/>
    <n v="6"/>
    <s v="SERVC"/>
    <s v="GRD-F051"/>
    <m/>
    <m/>
    <m/>
    <m/>
    <s v="FC000147"/>
    <s v="1"/>
    <s v="CU"/>
    <m/>
    <n v="6"/>
    <s v=""/>
    <s v="4430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910564392213"/>
    <s v="2"/>
    <s v="MU"/>
    <s v=""/>
    <n v="12"/>
    <s v="SERVC"/>
    <s v="GRD-F051"/>
    <m/>
    <m/>
    <m/>
    <m/>
    <s v="FC000142"/>
    <s v="2"/>
    <s v="MU"/>
    <m/>
    <n v="12"/>
    <s v=""/>
    <s v="06410"/>
    <s v="Alpes-Maritimes"/>
    <x v="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610853828480"/>
    <s v="2"/>
    <s v="MU"/>
    <s v=""/>
    <n v="12"/>
    <s v="SERVC"/>
    <s v="GRD-F051"/>
    <m/>
    <m/>
    <m/>
    <m/>
    <s v="FC000142"/>
    <s v="2"/>
    <s v="MU"/>
    <m/>
    <n v="12"/>
    <s v=""/>
    <s v="80540"/>
    <s v="Somme"/>
    <x v="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58610519920"/>
    <s v="2"/>
    <s v="CU"/>
    <s v=""/>
    <n v="9"/>
    <s v="SERVC"/>
    <s v="GRD-F058"/>
    <m/>
    <m/>
    <m/>
    <m/>
    <s v="FC000166"/>
    <s v="2"/>
    <s v="MU"/>
    <m/>
    <n v="9"/>
    <s v=""/>
    <s v="44470"/>
    <s v="Loire-Atlantique"/>
    <x v="0"/>
    <s v="GINKO"/>
    <s v="LINKY"/>
    <n v="2"/>
    <b v="1"/>
    <b v="1"/>
    <b v="0"/>
    <b v="1"/>
    <b v="0"/>
    <b v="0"/>
    <s v="F130B"/>
    <x v="0"/>
    <n v="0.01"/>
    <n v="0.01"/>
    <m/>
    <m/>
  </r>
  <r>
    <s v="21419970950094"/>
    <s v="1"/>
    <s v="CU"/>
    <s v=""/>
    <n v="6"/>
    <s v="SERVC"/>
    <s v="GRD-F051"/>
    <m/>
    <m/>
    <m/>
    <m/>
    <s v="FC000147"/>
    <s v="1"/>
    <s v="CU"/>
    <m/>
    <n v="6"/>
    <s v=""/>
    <s v="95240"/>
    <s v="Val-d'Ois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name="TDC_TO" cacheId="2" applyNumberFormats="0" applyBorderFormats="0" applyFontFormats="0" applyPatternFormats="0" applyAlignmentFormats="0" applyWidthHeightFormats="1" dataCaption="Valeurs" grandTotalCaption="Total général" updatedVersion="6" minRefreshableVersion="3" asteriskTotals="1" showCalcMbrs="0" useAutoFormatting="1" itemPrintTitles="1" createdVersion="3" indent="0" outline="1" outlineData="1" multipleFieldFilters="0" rowHeaderCaption="Région">
  <location ref="K7:M27" firstHeaderRow="1" firstDataRow="2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axis="axisRow" showAll="0" sortType="ascending">
      <items count="22">
        <item x="11"/>
        <item x="19"/>
        <item x="14"/>
        <item x="17"/>
        <item x="18"/>
        <item x="3"/>
        <item x="1"/>
        <item x="9"/>
        <item x="12"/>
        <item x="16"/>
        <item x="4"/>
        <item x="7"/>
        <item x="20"/>
        <item x="10"/>
        <item x="6"/>
        <item x="2"/>
        <item x="0"/>
        <item x="5"/>
        <item x="13"/>
        <item x="8"/>
        <item x="15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axis="axisCol" showAll="0" defaultSubtotal="0">
      <items count="3">
        <item h="1" x="1"/>
        <item x="0"/>
        <item h="1" x="2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19"/>
  </rowFields>
  <rowItems count="19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8"/>
    </i>
    <i>
      <x v="19"/>
    </i>
    <i>
      <x v="20"/>
    </i>
    <i t="grand">
      <x/>
    </i>
  </rowItems>
  <colFields count="1">
    <field x="30"/>
  </colFields>
  <colItems count="2">
    <i>
      <x v="1"/>
    </i>
    <i t="grand">
      <x/>
    </i>
  </colItems>
  <dataFields count="1">
    <dataField name="Nombre de PDL_x000a_[PDL]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DC_TRTM_SITE" cacheId="1" applyNumberFormats="0" applyBorderFormats="0" applyFontFormats="0" applyPatternFormats="0" applyAlignmentFormats="0" applyWidthHeightFormats="1" dataCaption="Valeurs" grandTotalCaption="Total général" updatedVersion="6" minRefreshableVersion="3" asteriskTotals="1" showCalcMbrs="0" useAutoFormatting="1" itemPrintTitles="1" createdVersion="3" indent="0" outline="1" outlineData="1" multipleFieldFilters="0" rowHeaderCaption="Région">
  <location ref="F7:I30" firstHeaderRow="1" firstDataRow="2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axis="axisRow" showAll="0" sortType="ascending">
      <items count="22">
        <item x="11"/>
        <item x="19"/>
        <item x="14"/>
        <item x="17"/>
        <item x="18"/>
        <item x="3"/>
        <item x="1"/>
        <item x="9"/>
        <item x="12"/>
        <item x="16"/>
        <item x="4"/>
        <item x="7"/>
        <item x="20"/>
        <item x="10"/>
        <item x="6"/>
        <item x="2"/>
        <item x="0"/>
        <item x="5"/>
        <item x="13"/>
        <item x="8"/>
        <item x="15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</pivotFields>
  <rowFields count="1">
    <field x="19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otal" fld="0" subtotal="count" baseField="0" baseItem="0"/>
    <dataField name="Interventions sur site" fld="32" baseField="0" baseItem="0" numFmtId="1"/>
    <dataField name="Traitements manuels" fld="31" baseField="0" baseItem="0" numFmtId="1"/>
  </dataFields>
  <formats count="2">
    <format dxfId="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DC_PRS" cacheId="0" applyNumberFormats="0" applyBorderFormats="0" applyFontFormats="0" applyPatternFormats="0" applyAlignmentFormats="0" applyWidthHeightFormats="1" dataCaption="Valeurs" updatedVersion="6" minRefreshableVersion="3" asteriskTotals="1" showCalcMbrs="0" useAutoFormatting="1" itemPrintTitles="1" createdVersion="3" indent="0" outline="1" outlineData="1" multipleFieldFilters="0" rowHeaderCaption="SI et mode de réalisation">
  <location ref="C8:D16" firstHeaderRow="1" firstDataRow="1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showAll="0"/>
    <pivotField axis="axisRow" showAll="0" defaultSubtotal="0">
      <items count="1">
        <item x="0"/>
      </items>
    </pivotField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axis="axisRow" showAll="0">
      <items count="3">
        <item x="1"/>
        <item x="0"/>
        <item t="default"/>
      </items>
    </pivotField>
    <pivotField axis="axisRow" showAll="0" defaultSubtotal="0">
      <items count="3">
        <item x="1"/>
        <item x="0"/>
        <item x="2"/>
      </items>
    </pivotField>
    <pivotField showAll="0" defaultSubtotal="0"/>
    <pivotField showAll="0" defaultSubtotal="0"/>
    <pivotField showAll="0" defaultSubtotal="0"/>
    <pivotField showAll="0" defaultSubtotal="0"/>
  </pivotFields>
  <rowFields count="3">
    <field x="20"/>
    <field x="30"/>
    <field x="29"/>
  </rowFields>
  <rowItems count="8">
    <i>
      <x/>
    </i>
    <i r="1">
      <x/>
    </i>
    <i r="2">
      <x/>
    </i>
    <i r="1">
      <x v="1"/>
    </i>
    <i r="2">
      <x v="1"/>
    </i>
    <i r="1">
      <x v="2"/>
    </i>
    <i r="2">
      <x v="1"/>
    </i>
    <i t="grand">
      <x/>
    </i>
  </rowItems>
  <colItems count="1">
    <i/>
  </colItems>
  <dataFields count="1">
    <dataField name="Total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DC_PRS" cacheId="3" applyNumberFormats="0" applyBorderFormats="0" applyFontFormats="0" applyPatternFormats="0" applyAlignmentFormats="0" applyWidthHeightFormats="1" dataCaption="Valeurs" updatedVersion="6" minRefreshableVersion="3" asteriskTotals="1" showCalcMbrs="0" useAutoFormatting="1" itemPrintTitles="1" createdVersion="3" indent="0" outline="1" outlineData="1" multipleFieldFilters="0" rowHeaderCaption="SI et mode de réalisation">
  <location ref="C8:D16" firstHeaderRow="1" firstDataRow="1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showAll="0"/>
    <pivotField axis="axisRow" showAll="0" defaultSubtotal="0">
      <items count="1">
        <item x="0"/>
      </items>
    </pivotField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axis="axisRow" showAll="0">
      <items count="3">
        <item x="1"/>
        <item x="0"/>
        <item t="default"/>
      </items>
    </pivotField>
    <pivotField axis="axisRow" showAll="0" defaultSubtotal="0">
      <items count="3">
        <item x="1"/>
        <item x="0"/>
        <item x="2"/>
      </items>
    </pivotField>
    <pivotField showAll="0" defaultSubtotal="0"/>
    <pivotField showAll="0" defaultSubtotal="0"/>
    <pivotField showAll="0" defaultSubtotal="0"/>
    <pivotField showAll="0" defaultSubtotal="0"/>
  </pivotFields>
  <rowFields count="3">
    <field x="20"/>
    <field x="30"/>
    <field x="29"/>
  </rowFields>
  <rowItems count="8">
    <i>
      <x/>
    </i>
    <i r="1">
      <x/>
    </i>
    <i r="2">
      <x/>
    </i>
    <i r="1">
      <x v="1"/>
    </i>
    <i r="2">
      <x v="1"/>
    </i>
    <i r="1">
      <x v="2"/>
    </i>
    <i r="2">
      <x v="1"/>
    </i>
    <i t="grand">
      <x/>
    </i>
  </rowItems>
  <colItems count="1">
    <i/>
  </colItems>
  <dataFields count="1">
    <dataField name="Total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DC_TRTM_SITE" cacheId="4" applyNumberFormats="0" applyBorderFormats="0" applyFontFormats="0" applyPatternFormats="0" applyAlignmentFormats="0" applyWidthHeightFormats="1" dataCaption="Valeurs" grandTotalCaption="Total général" updatedVersion="6" minRefreshableVersion="3" asteriskTotals="1" showCalcMbrs="0" useAutoFormatting="1" itemPrintTitles="1" createdVersion="3" indent="0" outline="1" outlineData="1" multipleFieldFilters="0" rowHeaderCaption="Région">
  <location ref="F7:H30" firstHeaderRow="1" firstDataRow="2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axis="axisRow" showAll="0" sortType="ascending">
      <items count="22">
        <item x="11"/>
        <item x="19"/>
        <item x="14"/>
        <item x="17"/>
        <item x="18"/>
        <item x="3"/>
        <item x="1"/>
        <item x="9"/>
        <item x="12"/>
        <item x="16"/>
        <item x="4"/>
        <item x="7"/>
        <item x="20"/>
        <item x="10"/>
        <item x="6"/>
        <item x="2"/>
        <item x="0"/>
        <item x="5"/>
        <item x="13"/>
        <item x="8"/>
        <item x="15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  <pivotField showAll="0" defaultSubtotal="0"/>
  </pivotFields>
  <rowFields count="1">
    <field x="19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" fld="0" subtotal="count" baseField="0" baseItem="0"/>
    <dataField name="Interventions sur site" fld="32" baseField="0" baseItem="0" numFmtId="1"/>
  </dataFields>
  <formats count="1">
    <format dxfId="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DC_TO" cacheId="5" applyNumberFormats="0" applyBorderFormats="0" applyFontFormats="0" applyPatternFormats="0" applyAlignmentFormats="0" applyWidthHeightFormats="1" dataCaption="Valeurs" grandTotalCaption="Total général" updatedVersion="6" minRefreshableVersion="3" asteriskTotals="1" showCalcMbrs="0" useAutoFormatting="1" itemPrintTitles="1" createdVersion="3" indent="0" outline="1" outlineData="1" multipleFieldFilters="0" rowHeaderCaption="Région">
  <location ref="J7:L27" firstHeaderRow="1" firstDataRow="2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axis="axisRow" showAll="0" sortType="ascending">
      <items count="22">
        <item x="11"/>
        <item x="19"/>
        <item x="14"/>
        <item x="17"/>
        <item x="18"/>
        <item x="3"/>
        <item x="1"/>
        <item x="9"/>
        <item x="12"/>
        <item x="16"/>
        <item x="4"/>
        <item x="7"/>
        <item x="20"/>
        <item x="10"/>
        <item x="6"/>
        <item x="2"/>
        <item x="0"/>
        <item x="5"/>
        <item x="13"/>
        <item x="8"/>
        <item x="15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axis="axisCol" showAll="0" defaultSubtotal="0">
      <items count="3">
        <item h="1" x="1"/>
        <item x="0"/>
        <item h="1" x="2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19"/>
  </rowFields>
  <rowItems count="19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8"/>
    </i>
    <i>
      <x v="19"/>
    </i>
    <i>
      <x v="20"/>
    </i>
    <i t="grand">
      <x/>
    </i>
  </rowItems>
  <colFields count="1">
    <field x="30"/>
  </colFields>
  <colItems count="2">
    <i>
      <x v="1"/>
    </i>
    <i t="grand">
      <x/>
    </i>
  </colItems>
  <dataFields count="1">
    <dataField name="Nombre de PDL_x000a_[PDL]" fld="0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18.xml"/><Relationship Id="rId5" Type="http://schemas.openxmlformats.org/officeDocument/2006/relationships/drawing" Target="../drawings/drawing3.xml"/><Relationship Id="rId10" Type="http://schemas.openxmlformats.org/officeDocument/2006/relationships/ctrlProp" Target="../ctrlProps/ctrlProp17.xml"/><Relationship Id="rId4" Type="http://schemas.openxmlformats.org/officeDocument/2006/relationships/printerSettings" Target="../printerSettings/printerSettings3.bin"/><Relationship Id="rId9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rgb="FF00B050"/>
    <outlinePr summaryBelow="0" summaryRight="0"/>
  </sheetPr>
  <dimension ref="A1:L24"/>
  <sheetViews>
    <sheetView tabSelected="1" topLeftCell="B2" zoomScale="130" zoomScaleNormal="130" workbookViewId="0"/>
  </sheetViews>
  <sheetFormatPr baseColWidth="10" defaultRowHeight="15" x14ac:dyDescent="0.25"/>
  <cols>
    <col min="1" max="1" width="0" style="54" hidden="1" customWidth="1"/>
    <col min="2" max="2" width="9.140625" style="14" customWidth="1"/>
    <col min="3" max="3" width="42.85546875" style="14" customWidth="1"/>
    <col min="4" max="17" width="15.7109375" style="14" customWidth="1"/>
    <col min="18" max="16384" width="11.42578125" style="14"/>
  </cols>
  <sheetData>
    <row r="1" spans="1:9" s="54" customFormat="1" hidden="1" x14ac:dyDescent="0.25"/>
    <row r="2" spans="1:9" s="50" customFormat="1" ht="27" customHeight="1" x14ac:dyDescent="0.25">
      <c r="A2" s="54"/>
    </row>
    <row r="3" spans="1:9" s="69" customFormat="1" ht="15" customHeight="1" x14ac:dyDescent="0.25">
      <c r="B3" s="61" t="s">
        <v>860</v>
      </c>
      <c r="C3" s="84" t="s">
        <v>877</v>
      </c>
    </row>
    <row r="4" spans="1:9" ht="17.25" customHeight="1" x14ac:dyDescent="0.25"/>
    <row r="5" spans="1:9" ht="15" customHeight="1" x14ac:dyDescent="0.25">
      <c r="B5" s="8" t="s">
        <v>462</v>
      </c>
      <c r="C5" s="83" t="s">
        <v>75</v>
      </c>
      <c r="D5" s="72"/>
    </row>
    <row r="8" spans="1:9" ht="30" customHeight="1" x14ac:dyDescent="0.25">
      <c r="B8" s="61" t="s">
        <v>1006</v>
      </c>
      <c r="C8" s="92" t="s">
        <v>859</v>
      </c>
    </row>
    <row r="9" spans="1:9" ht="15" customHeight="1" x14ac:dyDescent="0.25">
      <c r="B9" s="81" t="s">
        <v>875</v>
      </c>
      <c r="C9" s="92" t="s">
        <v>859</v>
      </c>
    </row>
    <row r="10" spans="1:9" ht="15" customHeight="1" x14ac:dyDescent="0.25">
      <c r="B10" s="61" t="s">
        <v>872</v>
      </c>
      <c r="C10" s="92" t="s">
        <v>859</v>
      </c>
    </row>
    <row r="11" spans="1:9" ht="15" customHeight="1" x14ac:dyDescent="0.25">
      <c r="C11" s="92" t="s">
        <v>859</v>
      </c>
      <c r="D11" s="70"/>
    </row>
    <row r="12" spans="1:9" ht="15" customHeight="1" x14ac:dyDescent="0.25">
      <c r="C12" s="92" t="s">
        <v>859</v>
      </c>
      <c r="D12" s="70"/>
    </row>
    <row r="13" spans="1:9" x14ac:dyDescent="0.25">
      <c r="C13" s="71"/>
      <c r="D13" s="38"/>
    </row>
    <row r="14" spans="1:9" x14ac:dyDescent="0.25">
      <c r="C14" s="38"/>
      <c r="D14" s="38"/>
    </row>
    <row r="16" spans="1:9" x14ac:dyDescent="0.25">
      <c r="C16" s="11"/>
      <c r="E16" s="7"/>
      <c r="F16" s="11"/>
      <c r="H16" s="7"/>
      <c r="I16" s="11"/>
    </row>
    <row r="17" spans="3:12" x14ac:dyDescent="0.25">
      <c r="C17" s="11"/>
      <c r="E17" s="7"/>
      <c r="F17" s="11"/>
      <c r="H17" s="7"/>
      <c r="I17" s="11"/>
      <c r="K17" s="7"/>
      <c r="L17" s="11"/>
    </row>
    <row r="18" spans="3:12" x14ac:dyDescent="0.25">
      <c r="E18" s="7"/>
      <c r="F18" s="11"/>
      <c r="H18" s="7"/>
      <c r="I18" s="11"/>
      <c r="K18" s="7"/>
      <c r="L18" s="11"/>
    </row>
    <row r="19" spans="3:12" x14ac:dyDescent="0.25">
      <c r="E19" s="7"/>
      <c r="F19" s="11"/>
      <c r="H19" s="7"/>
      <c r="I19" s="11"/>
      <c r="K19" s="7"/>
      <c r="L19" s="11"/>
    </row>
    <row r="20" spans="3:12" x14ac:dyDescent="0.25">
      <c r="E20" s="7"/>
      <c r="F20" s="11"/>
      <c r="H20" s="7"/>
      <c r="I20" s="11"/>
      <c r="K20" s="7"/>
      <c r="L20" s="11"/>
    </row>
    <row r="21" spans="3:12" x14ac:dyDescent="0.25">
      <c r="H21" s="7"/>
      <c r="I21" s="11"/>
    </row>
    <row r="22" spans="3:12" x14ac:dyDescent="0.25">
      <c r="H22" s="7"/>
      <c r="I22" s="11"/>
    </row>
    <row r="23" spans="3:12" x14ac:dyDescent="0.25">
      <c r="H23" s="7"/>
      <c r="I23" s="11"/>
    </row>
    <row r="24" spans="3:12" x14ac:dyDescent="0.25">
      <c r="H24" s="7"/>
      <c r="I24" s="11"/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utton_Go">
                <anchor moveWithCells="1" sizeWithCells="1">
                  <from>
                    <xdr:col>2</xdr:col>
                    <xdr:colOff>1152525</xdr:colOff>
                    <xdr:row>5</xdr:row>
                    <xdr:rowOff>9525</xdr:rowOff>
                  </from>
                  <to>
                    <xdr:col>2</xdr:col>
                    <xdr:colOff>1628775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Button_clearAll">
                <anchor moveWithCells="1" sizeWithCells="1">
                  <from>
                    <xdr:col>2</xdr:col>
                    <xdr:colOff>9525</xdr:colOff>
                    <xdr:row>5</xdr:row>
                    <xdr:rowOff>9525</xdr:rowOff>
                  </from>
                  <to>
                    <xdr:col>2</xdr:col>
                    <xdr:colOff>628650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Button_clearRes">
                <anchor moveWithCells="1" sizeWithCells="1">
                  <from>
                    <xdr:col>2</xdr:col>
                    <xdr:colOff>9525</xdr:colOff>
                    <xdr:row>6</xdr:row>
                    <xdr:rowOff>9525</xdr:rowOff>
                  </from>
                  <to>
                    <xdr:col>2</xdr:col>
                    <xdr:colOff>628650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Button_Refresh">
                <anchor moveWithCells="1" sizeWithCells="1">
                  <from>
                    <xdr:col>2</xdr:col>
                    <xdr:colOff>1638300</xdr:colOff>
                    <xdr:row>5</xdr:row>
                    <xdr:rowOff>9525</xdr:rowOff>
                  </from>
                  <to>
                    <xdr:col>2</xdr:col>
                    <xdr:colOff>2438400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 macro="[0]!List_CtrUpdate">
                <anchor moveWithCells="1">
                  <from>
                    <xdr:col>2</xdr:col>
                    <xdr:colOff>0</xdr:colOff>
                    <xdr:row>3</xdr:row>
                    <xdr:rowOff>9525</xdr:rowOff>
                  </from>
                  <to>
                    <xdr:col>2</xdr:col>
                    <xdr:colOff>2847975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Button 8">
              <controlPr defaultSize="0" print="0" autoFill="0" autoPict="0" macro="[0]!Button_GenCR">
                <anchor moveWithCells="1" sizeWithCells="1">
                  <from>
                    <xdr:col>2</xdr:col>
                    <xdr:colOff>1638300</xdr:colOff>
                    <xdr:row>6</xdr:row>
                    <xdr:rowOff>19050</xdr:rowOff>
                  </from>
                  <to>
                    <xdr:col>2</xdr:col>
                    <xdr:colOff>2438400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0" name="Button 9">
              <controlPr defaultSize="0" print="0" autoFill="0" autoPict="0" macro="[0]!Button_ClearForm">
                <anchor moveWithCells="1" sizeWithCells="1">
                  <from>
                    <xdr:col>2</xdr:col>
                    <xdr:colOff>2447925</xdr:colOff>
                    <xdr:row>5</xdr:row>
                    <xdr:rowOff>9525</xdr:rowOff>
                  </from>
                  <to>
                    <xdr:col>2</xdr:col>
                    <xdr:colOff>2847975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1" name="Button 10">
              <controlPr defaultSize="0" print="0" autoFill="0" autoPict="0" macro="[0]!Button_MEF">
                <anchor moveWithCells="1" sizeWithCells="1">
                  <from>
                    <xdr:col>2</xdr:col>
                    <xdr:colOff>638175</xdr:colOff>
                    <xdr:row>5</xdr:row>
                    <xdr:rowOff>9525</xdr:rowOff>
                  </from>
                  <to>
                    <xdr:col>2</xdr:col>
                    <xdr:colOff>1133475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6"/>
  <dimension ref="C1:AP134"/>
  <sheetViews>
    <sheetView zoomScaleNormal="100" workbookViewId="0">
      <pane xSplit="7" ySplit="6" topLeftCell="N7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RowHeight="15" x14ac:dyDescent="0.25"/>
  <cols>
    <col min="1" max="1" width="0" style="80" hidden="1" customWidth="1"/>
    <col min="2" max="2" width="4.140625" style="80" customWidth="1"/>
    <col min="3" max="3" width="15" style="105" bestFit="1" customWidth="1"/>
    <col min="4" max="4" width="11.140625" style="105" customWidth="1"/>
    <col min="5" max="5" width="9.140625" style="102" customWidth="1"/>
    <col min="6" max="6" width="11.7109375" style="105" customWidth="1"/>
    <col min="7" max="7" width="9.140625" style="103" customWidth="1"/>
    <col min="8" max="8" width="10.7109375" style="98" customWidth="1"/>
    <col min="9" max="9" width="11.42578125" style="102" customWidth="1"/>
    <col min="10" max="10" width="9.140625" style="102" customWidth="1"/>
    <col min="11" max="11" width="10.5703125" style="102" customWidth="1"/>
    <col min="12" max="12" width="7.85546875" style="102" customWidth="1"/>
    <col min="13" max="13" width="11.5703125" style="102" customWidth="1"/>
    <col min="14" max="14" width="13.28515625" style="105" customWidth="1"/>
    <col min="15" max="15" width="10.42578125" style="102" customWidth="1"/>
    <col min="16" max="16" width="8" style="102" customWidth="1"/>
    <col min="17" max="17" width="11.42578125" style="102" customWidth="1"/>
    <col min="18" max="18" width="8.42578125" style="105" bestFit="1" customWidth="1"/>
    <col min="19" max="19" width="11.42578125" style="107" customWidth="1"/>
    <col min="20" max="20" width="13.7109375" style="74" hidden="1" customWidth="1"/>
    <col min="21" max="22" width="15.42578125" style="98" hidden="1" customWidth="1"/>
    <col min="23" max="24" width="14.140625" style="98" customWidth="1"/>
    <col min="25" max="26" width="15.7109375" style="75" customWidth="1"/>
    <col min="27" max="27" width="9.85546875" style="87" customWidth="1"/>
    <col min="28" max="29" width="10.85546875" style="87" bestFit="1" customWidth="1"/>
    <col min="30" max="30" width="10" style="87" customWidth="1"/>
    <col min="31" max="31" width="9.7109375" style="87" bestFit="1" customWidth="1"/>
    <col min="32" max="32" width="14.5703125" style="109" customWidth="1"/>
    <col min="33" max="33" width="21.42578125" style="87" customWidth="1"/>
    <col min="34" max="34" width="13.28515625" style="87" customWidth="1"/>
    <col min="35" max="35" width="9.85546875" style="87" bestFit="1" customWidth="1"/>
    <col min="36" max="36" width="12.5703125" style="109" customWidth="1"/>
    <col min="37" max="37" width="14.140625" style="87" customWidth="1"/>
    <col min="38" max="16384" width="11.42578125" style="80"/>
  </cols>
  <sheetData>
    <row r="1" spans="3:42" hidden="1" x14ac:dyDescent="0.25"/>
    <row r="3" spans="3:42" ht="22.5" customHeight="1" x14ac:dyDescent="0.25">
      <c r="H3" s="125" t="str">
        <f>Commandes!C8</f>
        <v/>
      </c>
      <c r="I3" s="125"/>
      <c r="J3" s="125"/>
      <c r="K3" s="73"/>
    </row>
    <row r="5" spans="3:42" ht="15" customHeight="1" x14ac:dyDescent="0.25">
      <c r="C5" s="100"/>
      <c r="D5" s="126" t="s">
        <v>825</v>
      </c>
      <c r="E5" s="127"/>
      <c r="F5" s="127"/>
      <c r="G5" s="128"/>
      <c r="H5" s="102"/>
      <c r="N5" s="102"/>
      <c r="R5" s="102"/>
      <c r="S5" s="109"/>
      <c r="T5" s="102"/>
      <c r="U5" s="102"/>
      <c r="V5" s="102"/>
      <c r="W5" s="102"/>
      <c r="X5" s="102"/>
      <c r="Y5" s="109"/>
      <c r="Z5" s="109"/>
      <c r="AA5" s="110"/>
      <c r="AB5" s="110"/>
      <c r="AC5" s="110"/>
      <c r="AD5" s="110"/>
      <c r="AE5" s="110"/>
      <c r="AF5" s="111"/>
      <c r="AG5" s="110"/>
      <c r="AH5" s="110"/>
      <c r="AI5" s="91"/>
      <c r="AJ5" s="111"/>
      <c r="AK5" s="110"/>
    </row>
    <row r="6" spans="3:42" ht="15" customHeight="1" x14ac:dyDescent="0.25">
      <c r="C6" s="101" t="s">
        <v>826</v>
      </c>
      <c r="D6" s="99" t="s">
        <v>827</v>
      </c>
      <c r="E6" s="114" t="s">
        <v>828</v>
      </c>
      <c r="F6" s="99" t="s">
        <v>829</v>
      </c>
      <c r="G6" s="99" t="s">
        <v>830</v>
      </c>
      <c r="H6" s="104" t="s">
        <v>831</v>
      </c>
      <c r="I6" s="104" t="s">
        <v>832</v>
      </c>
      <c r="J6" s="106" t="s">
        <v>833</v>
      </c>
      <c r="K6" s="89" t="s">
        <v>834</v>
      </c>
      <c r="L6" s="89" t="s">
        <v>835</v>
      </c>
      <c r="M6" s="89" t="s">
        <v>836</v>
      </c>
      <c r="N6" s="88" t="s">
        <v>837</v>
      </c>
      <c r="O6" s="89" t="s">
        <v>838</v>
      </c>
      <c r="P6" s="88" t="s">
        <v>839</v>
      </c>
      <c r="Q6" s="88" t="s">
        <v>840</v>
      </c>
      <c r="R6" s="88" t="s">
        <v>841</v>
      </c>
      <c r="S6" s="108" t="s">
        <v>842</v>
      </c>
      <c r="T6" s="104" t="s">
        <v>843</v>
      </c>
      <c r="U6" s="89" t="s">
        <v>844</v>
      </c>
      <c r="V6" s="89" t="s">
        <v>845</v>
      </c>
      <c r="W6" s="104" t="s">
        <v>846</v>
      </c>
      <c r="X6" s="88" t="s">
        <v>847</v>
      </c>
      <c r="Y6" s="79" t="s">
        <v>848</v>
      </c>
      <c r="Z6" s="78" t="s">
        <v>849</v>
      </c>
      <c r="AA6" s="108" t="s">
        <v>850</v>
      </c>
      <c r="AB6" s="76" t="s">
        <v>851</v>
      </c>
      <c r="AC6" s="76" t="s">
        <v>852</v>
      </c>
      <c r="AD6" s="76" t="s">
        <v>853</v>
      </c>
      <c r="AE6" s="76" t="s">
        <v>854</v>
      </c>
      <c r="AF6" s="112" t="s">
        <v>855</v>
      </c>
      <c r="AG6" s="113" t="s">
        <v>856</v>
      </c>
      <c r="AH6" s="113" t="s">
        <v>858</v>
      </c>
      <c r="AI6" s="113" t="s">
        <v>857</v>
      </c>
      <c r="AJ6" s="113" t="s">
        <v>866</v>
      </c>
      <c r="AK6" s="90" t="s">
        <v>868</v>
      </c>
      <c r="AL6" s="82"/>
      <c r="AM6" s="82"/>
      <c r="AN6" s="82"/>
      <c r="AO6" s="82"/>
    </row>
    <row r="7" spans="3:42" x14ac:dyDescent="0.25">
      <c r="C7" s="102" t="s">
        <v>878</v>
      </c>
      <c r="D7" s="102" t="s">
        <v>870</v>
      </c>
      <c r="E7" s="102" t="s">
        <v>4</v>
      </c>
      <c r="F7" s="102" t="s">
        <v>859</v>
      </c>
      <c r="G7" s="97">
        <v>12</v>
      </c>
      <c r="H7" s="115" t="s">
        <v>1008</v>
      </c>
      <c r="I7" s="115" t="s">
        <v>1</v>
      </c>
      <c r="J7" s="115"/>
      <c r="K7" s="115"/>
      <c r="L7" s="115"/>
      <c r="M7" s="115"/>
      <c r="N7" s="115" t="s">
        <v>87</v>
      </c>
      <c r="O7" s="115" t="s">
        <v>870</v>
      </c>
      <c r="P7" s="115" t="s">
        <v>4</v>
      </c>
      <c r="Q7" s="115"/>
      <c r="R7" s="115">
        <v>12</v>
      </c>
      <c r="S7" s="116" t="str">
        <f t="shared" ref="S7:S38" si="0">TEXT(IF(W7="DISCO", M7, Q7),"")</f>
        <v/>
      </c>
      <c r="T7" s="117" t="s">
        <v>1009</v>
      </c>
      <c r="U7" s="115" t="s">
        <v>415</v>
      </c>
      <c r="V7" s="115" t="s">
        <v>412</v>
      </c>
      <c r="W7" s="115" t="s">
        <v>861</v>
      </c>
      <c r="X7" s="115" t="s">
        <v>1010</v>
      </c>
      <c r="Y7" s="118">
        <v>2</v>
      </c>
      <c r="Z7" s="118" t="b">
        <f t="shared" ref="Z7:Z38" si="1">Y7&gt;0</f>
        <v>1</v>
      </c>
      <c r="AA7" s="116" t="b">
        <f t="shared" ref="AA7:AA38" si="2">NOT(EXACT(I7,CTR_C))</f>
        <v>1</v>
      </c>
      <c r="AB7" s="116" t="b">
        <f t="shared" ref="AB7:AB38" si="3">NOT(EXACT(O7,D7))</f>
        <v>0</v>
      </c>
      <c r="AC7" s="116" t="b">
        <f t="shared" ref="AC7:AC38" si="4">NOT(EXACT(P7,E7))</f>
        <v>0</v>
      </c>
      <c r="AD7" s="116" t="b">
        <f t="shared" ref="AD7:AD38" si="5">NOT(EXACT(S7,F7))</f>
        <v>0</v>
      </c>
      <c r="AE7" s="116" t="b">
        <f t="shared" ref="AE7:AE38" si="6">NOT(EXACT(R7,G7))</f>
        <v>0</v>
      </c>
      <c r="AF7" s="116" t="s">
        <v>862</v>
      </c>
      <c r="AG7" s="116" t="s">
        <v>863</v>
      </c>
      <c r="AH7" s="116">
        <v>0.01</v>
      </c>
      <c r="AI7" s="116">
        <v>0.01</v>
      </c>
      <c r="AJ7" s="116"/>
      <c r="AK7" s="116"/>
      <c r="AL7" s="82"/>
      <c r="AM7" s="82"/>
      <c r="AN7" s="82"/>
      <c r="AO7" s="82"/>
      <c r="AP7" s="82"/>
    </row>
    <row r="8" spans="3:42" x14ac:dyDescent="0.25">
      <c r="C8" s="102" t="s">
        <v>879</v>
      </c>
      <c r="D8" s="102" t="s">
        <v>870</v>
      </c>
      <c r="E8" s="102" t="s">
        <v>4</v>
      </c>
      <c r="F8" s="102" t="s">
        <v>859</v>
      </c>
      <c r="G8" s="97">
        <v>6</v>
      </c>
      <c r="H8" s="115" t="s">
        <v>1008</v>
      </c>
      <c r="I8" s="115" t="s">
        <v>75</v>
      </c>
      <c r="J8" s="115"/>
      <c r="K8" s="115"/>
      <c r="L8" s="115"/>
      <c r="M8" s="115"/>
      <c r="N8" s="115" t="s">
        <v>155</v>
      </c>
      <c r="O8" s="115" t="s">
        <v>870</v>
      </c>
      <c r="P8" s="115" t="s">
        <v>4</v>
      </c>
      <c r="Q8" s="115"/>
      <c r="R8" s="115">
        <v>6</v>
      </c>
      <c r="S8" s="116" t="str">
        <f t="shared" si="0"/>
        <v/>
      </c>
      <c r="T8" s="117" t="s">
        <v>1011</v>
      </c>
      <c r="U8" s="115" t="s">
        <v>356</v>
      </c>
      <c r="V8" s="115" t="s">
        <v>10</v>
      </c>
      <c r="W8" s="115" t="s">
        <v>861</v>
      </c>
      <c r="X8" s="115" t="s">
        <v>1010</v>
      </c>
      <c r="Y8" s="118">
        <v>2</v>
      </c>
      <c r="Z8" s="118" t="b">
        <f t="shared" si="1"/>
        <v>1</v>
      </c>
      <c r="AA8" s="116" t="b">
        <f t="shared" si="2"/>
        <v>0</v>
      </c>
      <c r="AB8" s="116" t="b">
        <f t="shared" si="3"/>
        <v>0</v>
      </c>
      <c r="AC8" s="116" t="b">
        <f t="shared" si="4"/>
        <v>0</v>
      </c>
      <c r="AD8" s="116" t="b">
        <f t="shared" si="5"/>
        <v>0</v>
      </c>
      <c r="AE8" s="116" t="b">
        <f t="shared" si="6"/>
        <v>0</v>
      </c>
      <c r="AF8" s="116" t="s">
        <v>864</v>
      </c>
      <c r="AG8" s="116" t="s">
        <v>865</v>
      </c>
      <c r="AH8" s="116">
        <v>0</v>
      </c>
      <c r="AI8" s="116">
        <v>0</v>
      </c>
      <c r="AJ8" s="116" t="s">
        <v>1127</v>
      </c>
      <c r="AK8" s="116"/>
      <c r="AL8" s="82"/>
      <c r="AM8" s="82"/>
      <c r="AN8" s="82"/>
      <c r="AO8" s="82"/>
      <c r="AP8" s="82"/>
    </row>
    <row r="9" spans="3:42" x14ac:dyDescent="0.25">
      <c r="C9" s="102" t="s">
        <v>880</v>
      </c>
      <c r="D9" s="102" t="s">
        <v>870</v>
      </c>
      <c r="E9" s="102" t="s">
        <v>4</v>
      </c>
      <c r="F9" s="102" t="s">
        <v>859</v>
      </c>
      <c r="G9" s="97">
        <v>6</v>
      </c>
      <c r="H9" s="115" t="s">
        <v>1008</v>
      </c>
      <c r="I9" s="115" t="s">
        <v>75</v>
      </c>
      <c r="J9" s="115"/>
      <c r="K9" s="115"/>
      <c r="L9" s="115"/>
      <c r="M9" s="115"/>
      <c r="N9" s="115" t="s">
        <v>155</v>
      </c>
      <c r="O9" s="115" t="s">
        <v>870</v>
      </c>
      <c r="P9" s="115" t="s">
        <v>4</v>
      </c>
      <c r="Q9" s="115"/>
      <c r="R9" s="115">
        <v>6</v>
      </c>
      <c r="S9" s="116" t="str">
        <f t="shared" si="0"/>
        <v/>
      </c>
      <c r="T9" s="117" t="s">
        <v>1011</v>
      </c>
      <c r="U9" s="115" t="s">
        <v>356</v>
      </c>
      <c r="V9" s="115" t="s">
        <v>10</v>
      </c>
      <c r="W9" s="115" t="s">
        <v>861</v>
      </c>
      <c r="X9" s="115" t="s">
        <v>1010</v>
      </c>
      <c r="Y9" s="118">
        <v>2</v>
      </c>
      <c r="Z9" s="118" t="b">
        <f t="shared" si="1"/>
        <v>1</v>
      </c>
      <c r="AA9" s="116" t="b">
        <f t="shared" si="2"/>
        <v>0</v>
      </c>
      <c r="AB9" s="116" t="b">
        <f t="shared" si="3"/>
        <v>0</v>
      </c>
      <c r="AC9" s="116" t="b">
        <f t="shared" si="4"/>
        <v>0</v>
      </c>
      <c r="AD9" s="116" t="b">
        <f t="shared" si="5"/>
        <v>0</v>
      </c>
      <c r="AE9" s="116" t="b">
        <f t="shared" si="6"/>
        <v>0</v>
      </c>
      <c r="AF9" s="116" t="s">
        <v>864</v>
      </c>
      <c r="AG9" s="116" t="s">
        <v>865</v>
      </c>
      <c r="AH9" s="116">
        <v>0</v>
      </c>
      <c r="AI9" s="116">
        <v>0</v>
      </c>
      <c r="AJ9" s="116" t="s">
        <v>1127</v>
      </c>
      <c r="AK9" s="116"/>
      <c r="AL9" s="82"/>
      <c r="AM9" s="82"/>
      <c r="AN9" s="82"/>
      <c r="AO9" s="82"/>
      <c r="AP9" s="82"/>
    </row>
    <row r="10" spans="3:42" x14ac:dyDescent="0.25">
      <c r="C10" s="102" t="s">
        <v>881</v>
      </c>
      <c r="D10" s="102" t="s">
        <v>870</v>
      </c>
      <c r="E10" s="102" t="s">
        <v>4</v>
      </c>
      <c r="F10" s="102" t="s">
        <v>859</v>
      </c>
      <c r="G10" s="97">
        <v>6</v>
      </c>
      <c r="H10" s="115" t="s">
        <v>1008</v>
      </c>
      <c r="I10" s="115" t="s">
        <v>75</v>
      </c>
      <c r="J10" s="115"/>
      <c r="K10" s="115"/>
      <c r="L10" s="115"/>
      <c r="M10" s="115"/>
      <c r="N10" s="115" t="s">
        <v>155</v>
      </c>
      <c r="O10" s="115" t="s">
        <v>870</v>
      </c>
      <c r="P10" s="115" t="s">
        <v>4</v>
      </c>
      <c r="Q10" s="115"/>
      <c r="R10" s="115">
        <v>6</v>
      </c>
      <c r="S10" s="116" t="str">
        <f t="shared" si="0"/>
        <v/>
      </c>
      <c r="T10" s="117" t="s">
        <v>1012</v>
      </c>
      <c r="U10" s="115" t="s">
        <v>408</v>
      </c>
      <c r="V10" s="115" t="s">
        <v>408</v>
      </c>
      <c r="W10" s="115" t="s">
        <v>861</v>
      </c>
      <c r="X10" s="115" t="s">
        <v>1010</v>
      </c>
      <c r="Y10" s="118">
        <v>2</v>
      </c>
      <c r="Z10" s="118" t="b">
        <f t="shared" si="1"/>
        <v>1</v>
      </c>
      <c r="AA10" s="116" t="b">
        <f t="shared" si="2"/>
        <v>0</v>
      </c>
      <c r="AB10" s="116" t="b">
        <f t="shared" si="3"/>
        <v>0</v>
      </c>
      <c r="AC10" s="116" t="b">
        <f t="shared" si="4"/>
        <v>0</v>
      </c>
      <c r="AD10" s="116" t="b">
        <f t="shared" si="5"/>
        <v>0</v>
      </c>
      <c r="AE10" s="116" t="b">
        <f t="shared" si="6"/>
        <v>0</v>
      </c>
      <c r="AF10" s="116" t="s">
        <v>864</v>
      </c>
      <c r="AG10" s="116" t="s">
        <v>865</v>
      </c>
      <c r="AH10" s="116">
        <v>0</v>
      </c>
      <c r="AI10" s="116">
        <v>0</v>
      </c>
      <c r="AJ10" s="116" t="s">
        <v>1127</v>
      </c>
      <c r="AK10" s="116"/>
      <c r="AL10" s="82"/>
      <c r="AM10" s="82"/>
      <c r="AN10" s="82"/>
      <c r="AO10" s="82"/>
      <c r="AP10" s="82"/>
    </row>
    <row r="11" spans="3:42" x14ac:dyDescent="0.25">
      <c r="C11" s="102" t="s">
        <v>882</v>
      </c>
      <c r="D11" s="102" t="s">
        <v>871</v>
      </c>
      <c r="E11" s="102" t="s">
        <v>4</v>
      </c>
      <c r="F11" s="102" t="s">
        <v>859</v>
      </c>
      <c r="G11" s="97">
        <v>12</v>
      </c>
      <c r="H11" s="115" t="s">
        <v>1008</v>
      </c>
      <c r="I11" s="115" t="s">
        <v>75</v>
      </c>
      <c r="J11" s="115"/>
      <c r="K11" s="115"/>
      <c r="L11" s="115"/>
      <c r="M11" s="115"/>
      <c r="N11" s="115" t="s">
        <v>150</v>
      </c>
      <c r="O11" s="115" t="s">
        <v>871</v>
      </c>
      <c r="P11" s="115" t="s">
        <v>4</v>
      </c>
      <c r="Q11" s="115"/>
      <c r="R11" s="115">
        <v>12</v>
      </c>
      <c r="S11" s="116" t="str">
        <f t="shared" si="0"/>
        <v/>
      </c>
      <c r="T11" s="117" t="s">
        <v>1013</v>
      </c>
      <c r="U11" s="115" t="s">
        <v>349</v>
      </c>
      <c r="V11" s="115" t="s">
        <v>12</v>
      </c>
      <c r="W11" s="115" t="s">
        <v>861</v>
      </c>
      <c r="X11" s="115" t="s">
        <v>1010</v>
      </c>
      <c r="Y11" s="118">
        <v>2</v>
      </c>
      <c r="Z11" s="118" t="b">
        <f t="shared" si="1"/>
        <v>1</v>
      </c>
      <c r="AA11" s="116" t="b">
        <f t="shared" si="2"/>
        <v>0</v>
      </c>
      <c r="AB11" s="116" t="b">
        <f t="shared" si="3"/>
        <v>0</v>
      </c>
      <c r="AC11" s="116" t="b">
        <f t="shared" si="4"/>
        <v>0</v>
      </c>
      <c r="AD11" s="116" t="b">
        <f t="shared" si="5"/>
        <v>0</v>
      </c>
      <c r="AE11" s="116" t="b">
        <f t="shared" si="6"/>
        <v>0</v>
      </c>
      <c r="AF11" s="116" t="s">
        <v>864</v>
      </c>
      <c r="AG11" s="116" t="s">
        <v>865</v>
      </c>
      <c r="AH11" s="116">
        <v>0</v>
      </c>
      <c r="AI11" s="116">
        <v>0</v>
      </c>
      <c r="AJ11" s="116" t="s">
        <v>1127</v>
      </c>
      <c r="AK11" s="116"/>
      <c r="AL11" s="82"/>
      <c r="AM11" s="82"/>
      <c r="AN11" s="82"/>
      <c r="AO11" s="82"/>
      <c r="AP11" s="82"/>
    </row>
    <row r="12" spans="3:42" x14ac:dyDescent="0.25">
      <c r="C12" s="102" t="s">
        <v>883</v>
      </c>
      <c r="D12" s="102" t="s">
        <v>870</v>
      </c>
      <c r="E12" s="102" t="s">
        <v>4</v>
      </c>
      <c r="F12" s="102" t="s">
        <v>859</v>
      </c>
      <c r="G12" s="97">
        <v>6</v>
      </c>
      <c r="H12" s="115" t="s">
        <v>1008</v>
      </c>
      <c r="I12" s="115" t="s">
        <v>236</v>
      </c>
      <c r="J12" s="115"/>
      <c r="K12" s="115"/>
      <c r="L12" s="115"/>
      <c r="M12" s="115"/>
      <c r="N12" s="115" t="s">
        <v>85</v>
      </c>
      <c r="O12" s="115" t="s">
        <v>870</v>
      </c>
      <c r="P12" s="115" t="s">
        <v>4</v>
      </c>
      <c r="Q12" s="115"/>
      <c r="R12" s="115">
        <v>6</v>
      </c>
      <c r="S12" s="116" t="str">
        <f t="shared" si="0"/>
        <v/>
      </c>
      <c r="T12" s="117" t="s">
        <v>1014</v>
      </c>
      <c r="U12" s="115" t="s">
        <v>350</v>
      </c>
      <c r="V12" s="115" t="s">
        <v>12</v>
      </c>
      <c r="W12" s="115" t="s">
        <v>861</v>
      </c>
      <c r="X12" s="115" t="s">
        <v>1010</v>
      </c>
      <c r="Y12" s="118">
        <v>2</v>
      </c>
      <c r="Z12" s="118" t="b">
        <f t="shared" si="1"/>
        <v>1</v>
      </c>
      <c r="AA12" s="116" t="b">
        <f t="shared" si="2"/>
        <v>1</v>
      </c>
      <c r="AB12" s="116" t="b">
        <f t="shared" si="3"/>
        <v>0</v>
      </c>
      <c r="AC12" s="116" t="b">
        <f t="shared" si="4"/>
        <v>0</v>
      </c>
      <c r="AD12" s="116" t="b">
        <f t="shared" si="5"/>
        <v>0</v>
      </c>
      <c r="AE12" s="116" t="b">
        <f t="shared" si="6"/>
        <v>0</v>
      </c>
      <c r="AF12" s="116" t="s">
        <v>862</v>
      </c>
      <c r="AG12" s="116" t="s">
        <v>863</v>
      </c>
      <c r="AH12" s="116">
        <v>0.01</v>
      </c>
      <c r="AI12" s="116">
        <v>0.01</v>
      </c>
      <c r="AJ12" s="116"/>
      <c r="AK12" s="116"/>
      <c r="AL12" s="82"/>
      <c r="AM12" s="82"/>
      <c r="AN12" s="82"/>
      <c r="AO12" s="82"/>
      <c r="AP12" s="82"/>
    </row>
    <row r="13" spans="3:42" x14ac:dyDescent="0.25">
      <c r="C13" s="102" t="s">
        <v>884</v>
      </c>
      <c r="D13" s="102" t="s">
        <v>871</v>
      </c>
      <c r="E13" s="102" t="s">
        <v>3</v>
      </c>
      <c r="F13" s="102" t="s">
        <v>859</v>
      </c>
      <c r="G13" s="97">
        <v>9</v>
      </c>
      <c r="H13" s="115" t="s">
        <v>1008</v>
      </c>
      <c r="I13" s="115" t="s">
        <v>75</v>
      </c>
      <c r="J13" s="115"/>
      <c r="K13" s="115"/>
      <c r="L13" s="115"/>
      <c r="M13" s="115"/>
      <c r="N13" s="115" t="s">
        <v>150</v>
      </c>
      <c r="O13" s="115" t="s">
        <v>871</v>
      </c>
      <c r="P13" s="115" t="s">
        <v>3</v>
      </c>
      <c r="Q13" s="115"/>
      <c r="R13" s="115">
        <v>9</v>
      </c>
      <c r="S13" s="116" t="str">
        <f t="shared" si="0"/>
        <v/>
      </c>
      <c r="T13" s="117" t="s">
        <v>1015</v>
      </c>
      <c r="U13" s="115" t="s">
        <v>379</v>
      </c>
      <c r="V13" s="115" t="s">
        <v>378</v>
      </c>
      <c r="W13" s="115" t="s">
        <v>861</v>
      </c>
      <c r="X13" s="115" t="s">
        <v>1010</v>
      </c>
      <c r="Y13" s="118">
        <v>2</v>
      </c>
      <c r="Z13" s="118" t="b">
        <f t="shared" si="1"/>
        <v>1</v>
      </c>
      <c r="AA13" s="116" t="b">
        <f t="shared" si="2"/>
        <v>0</v>
      </c>
      <c r="AB13" s="116" t="b">
        <f t="shared" si="3"/>
        <v>0</v>
      </c>
      <c r="AC13" s="116" t="b">
        <f t="shared" si="4"/>
        <v>0</v>
      </c>
      <c r="AD13" s="116" t="b">
        <f t="shared" si="5"/>
        <v>0</v>
      </c>
      <c r="AE13" s="116" t="b">
        <f t="shared" si="6"/>
        <v>0</v>
      </c>
      <c r="AF13" s="116" t="s">
        <v>864</v>
      </c>
      <c r="AG13" s="116" t="s">
        <v>865</v>
      </c>
      <c r="AH13" s="116">
        <v>0</v>
      </c>
      <c r="AI13" s="116">
        <v>0</v>
      </c>
      <c r="AJ13" s="116" t="s">
        <v>1127</v>
      </c>
      <c r="AK13" s="116"/>
      <c r="AL13" s="82"/>
      <c r="AM13" s="82"/>
      <c r="AN13" s="82"/>
      <c r="AO13" s="82"/>
      <c r="AP13" s="82"/>
    </row>
    <row r="14" spans="3:42" x14ac:dyDescent="0.25">
      <c r="C14" s="102" t="s">
        <v>885</v>
      </c>
      <c r="D14" s="102" t="s">
        <v>871</v>
      </c>
      <c r="E14" s="102" t="s">
        <v>3</v>
      </c>
      <c r="F14" s="102" t="s">
        <v>859</v>
      </c>
      <c r="G14" s="97">
        <v>12</v>
      </c>
      <c r="H14" s="115" t="s">
        <v>1008</v>
      </c>
      <c r="I14" s="115" t="s">
        <v>75</v>
      </c>
      <c r="J14" s="115"/>
      <c r="K14" s="115"/>
      <c r="L14" s="115"/>
      <c r="M14" s="115"/>
      <c r="N14" s="115" t="s">
        <v>150</v>
      </c>
      <c r="O14" s="115" t="s">
        <v>871</v>
      </c>
      <c r="P14" s="115" t="s">
        <v>1016</v>
      </c>
      <c r="Q14" s="115"/>
      <c r="R14" s="115">
        <v>12</v>
      </c>
      <c r="S14" s="116" t="str">
        <f t="shared" si="0"/>
        <v/>
      </c>
      <c r="T14" s="117" t="s">
        <v>1017</v>
      </c>
      <c r="U14" s="115" t="s">
        <v>418</v>
      </c>
      <c r="V14" s="115" t="s">
        <v>6</v>
      </c>
      <c r="W14" s="115" t="s">
        <v>861</v>
      </c>
      <c r="X14" s="115" t="s">
        <v>1010</v>
      </c>
      <c r="Y14" s="118">
        <v>2</v>
      </c>
      <c r="Z14" s="118" t="b">
        <f t="shared" si="1"/>
        <v>1</v>
      </c>
      <c r="AA14" s="116" t="b">
        <f t="shared" si="2"/>
        <v>0</v>
      </c>
      <c r="AB14" s="116" t="b">
        <f t="shared" si="3"/>
        <v>0</v>
      </c>
      <c r="AC14" s="116" t="b">
        <f t="shared" si="4"/>
        <v>1</v>
      </c>
      <c r="AD14" s="116" t="b">
        <f t="shared" si="5"/>
        <v>0</v>
      </c>
      <c r="AE14" s="116" t="b">
        <f t="shared" si="6"/>
        <v>0</v>
      </c>
      <c r="AF14" s="116" t="s">
        <v>864</v>
      </c>
      <c r="AG14" s="116" t="s">
        <v>865</v>
      </c>
      <c r="AH14" s="116">
        <v>0</v>
      </c>
      <c r="AI14" s="116">
        <v>0</v>
      </c>
      <c r="AJ14" s="116" t="s">
        <v>1127</v>
      </c>
      <c r="AK14" s="116"/>
      <c r="AL14" s="82"/>
      <c r="AM14" s="82"/>
      <c r="AN14" s="82"/>
      <c r="AO14" s="82"/>
      <c r="AP14" s="82"/>
    </row>
    <row r="15" spans="3:42" x14ac:dyDescent="0.25">
      <c r="C15" s="102" t="s">
        <v>886</v>
      </c>
      <c r="D15" s="102" t="s">
        <v>871</v>
      </c>
      <c r="E15" s="102" t="s">
        <v>3</v>
      </c>
      <c r="F15" s="102" t="s">
        <v>859</v>
      </c>
      <c r="G15" s="97">
        <v>18</v>
      </c>
      <c r="H15" s="115" t="s">
        <v>1008</v>
      </c>
      <c r="I15" s="115" t="s">
        <v>47</v>
      </c>
      <c r="J15" s="115"/>
      <c r="K15" s="115"/>
      <c r="L15" s="115"/>
      <c r="M15" s="115"/>
      <c r="N15" s="115" t="s">
        <v>203</v>
      </c>
      <c r="O15" s="115" t="s">
        <v>871</v>
      </c>
      <c r="P15" s="115" t="s">
        <v>4</v>
      </c>
      <c r="Q15" s="115"/>
      <c r="R15" s="115">
        <v>18</v>
      </c>
      <c r="S15" s="116" t="str">
        <f t="shared" si="0"/>
        <v/>
      </c>
      <c r="T15" s="117" t="s">
        <v>1018</v>
      </c>
      <c r="U15" s="115" t="s">
        <v>380</v>
      </c>
      <c r="V15" s="115" t="s">
        <v>378</v>
      </c>
      <c r="W15" s="115" t="s">
        <v>861</v>
      </c>
      <c r="X15" s="115" t="s">
        <v>1010</v>
      </c>
      <c r="Y15" s="118">
        <v>2</v>
      </c>
      <c r="Z15" s="118" t="b">
        <f t="shared" si="1"/>
        <v>1</v>
      </c>
      <c r="AA15" s="116" t="b">
        <f t="shared" si="2"/>
        <v>1</v>
      </c>
      <c r="AB15" s="116" t="b">
        <f t="shared" si="3"/>
        <v>0</v>
      </c>
      <c r="AC15" s="116" t="b">
        <f t="shared" si="4"/>
        <v>1</v>
      </c>
      <c r="AD15" s="116" t="b">
        <f t="shared" si="5"/>
        <v>0</v>
      </c>
      <c r="AE15" s="116" t="b">
        <f t="shared" si="6"/>
        <v>0</v>
      </c>
      <c r="AF15" s="116" t="s">
        <v>862</v>
      </c>
      <c r="AG15" s="116" t="s">
        <v>863</v>
      </c>
      <c r="AH15" s="116">
        <v>0.01</v>
      </c>
      <c r="AI15" s="116">
        <v>0.01</v>
      </c>
      <c r="AJ15" s="116"/>
      <c r="AK15" s="116"/>
      <c r="AL15" s="82"/>
      <c r="AM15" s="82"/>
      <c r="AN15" s="82"/>
      <c r="AO15" s="82"/>
      <c r="AP15" s="82"/>
    </row>
    <row r="16" spans="3:42" x14ac:dyDescent="0.25">
      <c r="C16" s="102" t="s">
        <v>887</v>
      </c>
      <c r="D16" s="102" t="s">
        <v>870</v>
      </c>
      <c r="E16" s="102" t="s">
        <v>4</v>
      </c>
      <c r="F16" s="102" t="s">
        <v>859</v>
      </c>
      <c r="G16" s="97">
        <v>9</v>
      </c>
      <c r="H16" s="115" t="s">
        <v>1008</v>
      </c>
      <c r="I16" s="115" t="s">
        <v>1</v>
      </c>
      <c r="J16" s="115"/>
      <c r="K16" s="115"/>
      <c r="L16" s="115"/>
      <c r="M16" s="115"/>
      <c r="N16" s="115" t="s">
        <v>87</v>
      </c>
      <c r="O16" s="115" t="s">
        <v>870</v>
      </c>
      <c r="P16" s="115" t="s">
        <v>4</v>
      </c>
      <c r="Q16" s="115"/>
      <c r="R16" s="115">
        <v>9</v>
      </c>
      <c r="S16" s="116" t="str">
        <f t="shared" si="0"/>
        <v/>
      </c>
      <c r="T16" s="117" t="s">
        <v>1019</v>
      </c>
      <c r="U16" s="115" t="s">
        <v>377</v>
      </c>
      <c r="V16" s="115" t="s">
        <v>378</v>
      </c>
      <c r="W16" s="115" t="s">
        <v>861</v>
      </c>
      <c r="X16" s="115" t="s">
        <v>1010</v>
      </c>
      <c r="Y16" s="118">
        <v>2</v>
      </c>
      <c r="Z16" s="118" t="b">
        <f t="shared" si="1"/>
        <v>1</v>
      </c>
      <c r="AA16" s="116" t="b">
        <f t="shared" si="2"/>
        <v>1</v>
      </c>
      <c r="AB16" s="116" t="b">
        <f t="shared" si="3"/>
        <v>0</v>
      </c>
      <c r="AC16" s="116" t="b">
        <f t="shared" si="4"/>
        <v>0</v>
      </c>
      <c r="AD16" s="116" t="b">
        <f t="shared" si="5"/>
        <v>0</v>
      </c>
      <c r="AE16" s="116" t="b">
        <f t="shared" si="6"/>
        <v>0</v>
      </c>
      <c r="AF16" s="116" t="s">
        <v>862</v>
      </c>
      <c r="AG16" s="116" t="s">
        <v>863</v>
      </c>
      <c r="AH16" s="116">
        <v>0.01</v>
      </c>
      <c r="AI16" s="116">
        <v>0.01</v>
      </c>
      <c r="AJ16" s="116"/>
      <c r="AK16" s="116"/>
      <c r="AL16" s="82"/>
      <c r="AM16" s="82"/>
      <c r="AN16" s="82"/>
      <c r="AO16" s="82"/>
      <c r="AP16" s="82"/>
    </row>
    <row r="17" spans="3:42" x14ac:dyDescent="0.25">
      <c r="C17" s="102" t="s">
        <v>888</v>
      </c>
      <c r="D17" s="102" t="s">
        <v>871</v>
      </c>
      <c r="E17" s="102" t="s">
        <v>3</v>
      </c>
      <c r="F17" s="102" t="s">
        <v>859</v>
      </c>
      <c r="G17" s="97">
        <v>6</v>
      </c>
      <c r="H17" s="115" t="s">
        <v>1008</v>
      </c>
      <c r="I17" s="115" t="s">
        <v>75</v>
      </c>
      <c r="J17" s="115"/>
      <c r="K17" s="115"/>
      <c r="L17" s="115"/>
      <c r="M17" s="115"/>
      <c r="N17" s="115" t="s">
        <v>150</v>
      </c>
      <c r="O17" s="115" t="s">
        <v>871</v>
      </c>
      <c r="P17" s="115" t="s">
        <v>3</v>
      </c>
      <c r="Q17" s="115"/>
      <c r="R17" s="115">
        <v>6</v>
      </c>
      <c r="S17" s="116" t="str">
        <f t="shared" si="0"/>
        <v/>
      </c>
      <c r="T17" s="117" t="s">
        <v>1020</v>
      </c>
      <c r="U17" s="115" t="s">
        <v>381</v>
      </c>
      <c r="V17" s="115" t="s">
        <v>378</v>
      </c>
      <c r="W17" s="115" t="s">
        <v>861</v>
      </c>
      <c r="X17" s="115" t="s">
        <v>1010</v>
      </c>
      <c r="Y17" s="118">
        <v>2</v>
      </c>
      <c r="Z17" s="118" t="b">
        <f t="shared" si="1"/>
        <v>1</v>
      </c>
      <c r="AA17" s="116" t="b">
        <f t="shared" si="2"/>
        <v>0</v>
      </c>
      <c r="AB17" s="116" t="b">
        <f t="shared" si="3"/>
        <v>0</v>
      </c>
      <c r="AC17" s="116" t="b">
        <f t="shared" si="4"/>
        <v>0</v>
      </c>
      <c r="AD17" s="116" t="b">
        <f t="shared" si="5"/>
        <v>0</v>
      </c>
      <c r="AE17" s="116" t="b">
        <f t="shared" si="6"/>
        <v>0</v>
      </c>
      <c r="AF17" s="116" t="s">
        <v>864</v>
      </c>
      <c r="AG17" s="116" t="s">
        <v>865</v>
      </c>
      <c r="AH17" s="116">
        <v>0</v>
      </c>
      <c r="AI17" s="116">
        <v>0</v>
      </c>
      <c r="AJ17" s="116" t="s">
        <v>1127</v>
      </c>
      <c r="AK17" s="116"/>
      <c r="AL17" s="82"/>
      <c r="AM17" s="82"/>
      <c r="AN17" s="82"/>
      <c r="AO17" s="82"/>
      <c r="AP17" s="82"/>
    </row>
    <row r="18" spans="3:42" x14ac:dyDescent="0.25">
      <c r="C18" s="102" t="s">
        <v>889</v>
      </c>
      <c r="D18" s="102" t="s">
        <v>870</v>
      </c>
      <c r="E18" s="102" t="s">
        <v>4</v>
      </c>
      <c r="F18" s="102" t="s">
        <v>859</v>
      </c>
      <c r="G18" s="97">
        <v>6</v>
      </c>
      <c r="H18" s="115" t="s">
        <v>1008</v>
      </c>
      <c r="I18" s="115" t="s">
        <v>236</v>
      </c>
      <c r="J18" s="115"/>
      <c r="K18" s="115"/>
      <c r="L18" s="115"/>
      <c r="M18" s="115"/>
      <c r="N18" s="115" t="s">
        <v>85</v>
      </c>
      <c r="O18" s="115" t="s">
        <v>870</v>
      </c>
      <c r="P18" s="115" t="s">
        <v>4</v>
      </c>
      <c r="Q18" s="115"/>
      <c r="R18" s="115">
        <v>6</v>
      </c>
      <c r="S18" s="116" t="str">
        <f t="shared" si="0"/>
        <v/>
      </c>
      <c r="T18" s="117" t="s">
        <v>1021</v>
      </c>
      <c r="U18" s="115" t="s">
        <v>401</v>
      </c>
      <c r="V18" s="115" t="s">
        <v>400</v>
      </c>
      <c r="W18" s="115" t="s">
        <v>861</v>
      </c>
      <c r="X18" s="115" t="s">
        <v>1010</v>
      </c>
      <c r="Y18" s="118">
        <v>2</v>
      </c>
      <c r="Z18" s="118" t="b">
        <f t="shared" si="1"/>
        <v>1</v>
      </c>
      <c r="AA18" s="116" t="b">
        <f t="shared" si="2"/>
        <v>1</v>
      </c>
      <c r="AB18" s="116" t="b">
        <f t="shared" si="3"/>
        <v>0</v>
      </c>
      <c r="AC18" s="116" t="b">
        <f t="shared" si="4"/>
        <v>0</v>
      </c>
      <c r="AD18" s="116" t="b">
        <f t="shared" si="5"/>
        <v>0</v>
      </c>
      <c r="AE18" s="116" t="b">
        <f t="shared" si="6"/>
        <v>0</v>
      </c>
      <c r="AF18" s="116" t="s">
        <v>862</v>
      </c>
      <c r="AG18" s="116" t="s">
        <v>863</v>
      </c>
      <c r="AH18" s="116">
        <v>0.01</v>
      </c>
      <c r="AI18" s="116">
        <v>0.01</v>
      </c>
      <c r="AJ18" s="116"/>
      <c r="AK18" s="116"/>
      <c r="AL18" s="82"/>
      <c r="AM18" s="82"/>
      <c r="AN18" s="82"/>
      <c r="AO18" s="82"/>
      <c r="AP18" s="82"/>
    </row>
    <row r="19" spans="3:42" x14ac:dyDescent="0.25">
      <c r="C19" s="102" t="s">
        <v>890</v>
      </c>
      <c r="D19" s="102" t="s">
        <v>870</v>
      </c>
      <c r="E19" s="102" t="s">
        <v>4</v>
      </c>
      <c r="F19" s="102" t="s">
        <v>859</v>
      </c>
      <c r="G19" s="97">
        <v>6</v>
      </c>
      <c r="H19" s="115" t="s">
        <v>1008</v>
      </c>
      <c r="I19" s="115" t="s">
        <v>75</v>
      </c>
      <c r="J19" s="115"/>
      <c r="K19" s="115"/>
      <c r="L19" s="115"/>
      <c r="M19" s="115"/>
      <c r="N19" s="115" t="s">
        <v>155</v>
      </c>
      <c r="O19" s="115" t="s">
        <v>870</v>
      </c>
      <c r="P19" s="115" t="s">
        <v>4</v>
      </c>
      <c r="Q19" s="115"/>
      <c r="R19" s="115">
        <v>6</v>
      </c>
      <c r="S19" s="116" t="str">
        <f t="shared" si="0"/>
        <v/>
      </c>
      <c r="T19" s="117" t="s">
        <v>1022</v>
      </c>
      <c r="U19" s="115" t="s">
        <v>388</v>
      </c>
      <c r="V19" s="115" t="s">
        <v>386</v>
      </c>
      <c r="W19" s="115" t="s">
        <v>861</v>
      </c>
      <c r="X19" s="115" t="s">
        <v>1010</v>
      </c>
      <c r="Y19" s="118">
        <v>2</v>
      </c>
      <c r="Z19" s="118" t="b">
        <f t="shared" si="1"/>
        <v>1</v>
      </c>
      <c r="AA19" s="116" t="b">
        <f t="shared" si="2"/>
        <v>0</v>
      </c>
      <c r="AB19" s="116" t="b">
        <f t="shared" si="3"/>
        <v>0</v>
      </c>
      <c r="AC19" s="116" t="b">
        <f t="shared" si="4"/>
        <v>0</v>
      </c>
      <c r="AD19" s="116" t="b">
        <f t="shared" si="5"/>
        <v>0</v>
      </c>
      <c r="AE19" s="116" t="b">
        <f t="shared" si="6"/>
        <v>0</v>
      </c>
      <c r="AF19" s="116" t="s">
        <v>864</v>
      </c>
      <c r="AG19" s="116" t="s">
        <v>865</v>
      </c>
      <c r="AH19" s="116">
        <v>0</v>
      </c>
      <c r="AI19" s="116">
        <v>0</v>
      </c>
      <c r="AJ19" s="116" t="s">
        <v>1127</v>
      </c>
      <c r="AK19" s="116"/>
      <c r="AL19" s="82"/>
      <c r="AM19" s="82"/>
      <c r="AN19" s="82"/>
      <c r="AO19" s="82"/>
      <c r="AP19" s="82"/>
    </row>
    <row r="20" spans="3:42" x14ac:dyDescent="0.25">
      <c r="C20" s="102" t="s">
        <v>891</v>
      </c>
      <c r="D20" s="102" t="s">
        <v>870</v>
      </c>
      <c r="E20" s="102" t="s">
        <v>4</v>
      </c>
      <c r="F20" s="102" t="s">
        <v>859</v>
      </c>
      <c r="G20" s="97">
        <v>6</v>
      </c>
      <c r="H20" s="115" t="s">
        <v>1008</v>
      </c>
      <c r="I20" s="115" t="s">
        <v>2</v>
      </c>
      <c r="J20" s="115"/>
      <c r="K20" s="115"/>
      <c r="L20" s="115"/>
      <c r="M20" s="115"/>
      <c r="N20" s="115" t="s">
        <v>93</v>
      </c>
      <c r="O20" s="115" t="s">
        <v>870</v>
      </c>
      <c r="P20" s="115" t="s">
        <v>4</v>
      </c>
      <c r="Q20" s="115"/>
      <c r="R20" s="115">
        <v>6</v>
      </c>
      <c r="S20" s="116" t="str">
        <f t="shared" si="0"/>
        <v/>
      </c>
      <c r="T20" s="117" t="s">
        <v>1023</v>
      </c>
      <c r="U20" s="115" t="s">
        <v>387</v>
      </c>
      <c r="V20" s="115" t="s">
        <v>386</v>
      </c>
      <c r="W20" s="115" t="s">
        <v>861</v>
      </c>
      <c r="X20" s="115" t="s">
        <v>1010</v>
      </c>
      <c r="Y20" s="118">
        <v>2</v>
      </c>
      <c r="Z20" s="118" t="b">
        <f t="shared" si="1"/>
        <v>1</v>
      </c>
      <c r="AA20" s="116" t="b">
        <f t="shared" si="2"/>
        <v>1</v>
      </c>
      <c r="AB20" s="116" t="b">
        <f t="shared" si="3"/>
        <v>0</v>
      </c>
      <c r="AC20" s="116" t="b">
        <f t="shared" si="4"/>
        <v>0</v>
      </c>
      <c r="AD20" s="116" t="b">
        <f t="shared" si="5"/>
        <v>0</v>
      </c>
      <c r="AE20" s="116" t="b">
        <f t="shared" si="6"/>
        <v>0</v>
      </c>
      <c r="AF20" s="116" t="s">
        <v>862</v>
      </c>
      <c r="AG20" s="116" t="s">
        <v>863</v>
      </c>
      <c r="AH20" s="116">
        <v>0.01</v>
      </c>
      <c r="AI20" s="116">
        <v>0.01</v>
      </c>
      <c r="AJ20" s="116"/>
      <c r="AK20" s="116"/>
      <c r="AL20" s="82"/>
      <c r="AM20" s="82"/>
      <c r="AN20" s="82"/>
      <c r="AO20" s="82"/>
      <c r="AP20" s="82"/>
    </row>
    <row r="21" spans="3:42" x14ac:dyDescent="0.25">
      <c r="C21" s="102" t="s">
        <v>892</v>
      </c>
      <c r="D21" s="102" t="s">
        <v>870</v>
      </c>
      <c r="E21" s="102" t="s">
        <v>4</v>
      </c>
      <c r="F21" s="102" t="s">
        <v>859</v>
      </c>
      <c r="G21" s="97">
        <v>6</v>
      </c>
      <c r="H21" s="115" t="s">
        <v>1008</v>
      </c>
      <c r="I21" s="115" t="s">
        <v>65</v>
      </c>
      <c r="J21" s="115"/>
      <c r="K21" s="115"/>
      <c r="L21" s="115"/>
      <c r="M21" s="115"/>
      <c r="N21" s="115" t="s">
        <v>132</v>
      </c>
      <c r="O21" s="115" t="s">
        <v>870</v>
      </c>
      <c r="P21" s="115" t="s">
        <v>4</v>
      </c>
      <c r="Q21" s="115"/>
      <c r="R21" s="115">
        <v>6</v>
      </c>
      <c r="S21" s="116" t="str">
        <f t="shared" si="0"/>
        <v/>
      </c>
      <c r="T21" s="117" t="s">
        <v>1024</v>
      </c>
      <c r="U21" s="115" t="s">
        <v>409</v>
      </c>
      <c r="V21" s="115" t="s">
        <v>408</v>
      </c>
      <c r="W21" s="115" t="s">
        <v>861</v>
      </c>
      <c r="X21" s="115" t="s">
        <v>1010</v>
      </c>
      <c r="Y21" s="118">
        <v>2</v>
      </c>
      <c r="Z21" s="118" t="b">
        <f t="shared" si="1"/>
        <v>1</v>
      </c>
      <c r="AA21" s="116" t="b">
        <f t="shared" si="2"/>
        <v>1</v>
      </c>
      <c r="AB21" s="116" t="b">
        <f t="shared" si="3"/>
        <v>0</v>
      </c>
      <c r="AC21" s="116" t="b">
        <f t="shared" si="4"/>
        <v>0</v>
      </c>
      <c r="AD21" s="116" t="b">
        <f t="shared" si="5"/>
        <v>0</v>
      </c>
      <c r="AE21" s="116" t="b">
        <f t="shared" si="6"/>
        <v>0</v>
      </c>
      <c r="AF21" s="116" t="s">
        <v>862</v>
      </c>
      <c r="AG21" s="116" t="s">
        <v>863</v>
      </c>
      <c r="AH21" s="116">
        <v>0.01</v>
      </c>
      <c r="AI21" s="116">
        <v>0.01</v>
      </c>
      <c r="AJ21" s="116"/>
      <c r="AK21" s="116"/>
      <c r="AL21" s="82"/>
      <c r="AM21" s="82"/>
      <c r="AN21" s="82"/>
      <c r="AO21" s="82"/>
      <c r="AP21" s="82"/>
    </row>
    <row r="22" spans="3:42" x14ac:dyDescent="0.25">
      <c r="C22" s="102" t="s">
        <v>893</v>
      </c>
      <c r="D22" s="102" t="s">
        <v>870</v>
      </c>
      <c r="E22" s="102" t="s">
        <v>4</v>
      </c>
      <c r="F22" s="102" t="s">
        <v>859</v>
      </c>
      <c r="G22" s="97">
        <v>9</v>
      </c>
      <c r="H22" s="115" t="s">
        <v>1008</v>
      </c>
      <c r="I22" s="115" t="s">
        <v>75</v>
      </c>
      <c r="J22" s="115"/>
      <c r="K22" s="115"/>
      <c r="L22" s="115"/>
      <c r="M22" s="115"/>
      <c r="N22" s="115" t="s">
        <v>155</v>
      </c>
      <c r="O22" s="115" t="s">
        <v>870</v>
      </c>
      <c r="P22" s="115" t="s">
        <v>4</v>
      </c>
      <c r="Q22" s="115"/>
      <c r="R22" s="115">
        <v>9</v>
      </c>
      <c r="S22" s="116" t="str">
        <f t="shared" si="0"/>
        <v/>
      </c>
      <c r="T22" s="117" t="s">
        <v>1025</v>
      </c>
      <c r="U22" s="115" t="s">
        <v>411</v>
      </c>
      <c r="V22" s="115" t="s">
        <v>412</v>
      </c>
      <c r="W22" s="115" t="s">
        <v>861</v>
      </c>
      <c r="X22" s="115" t="s">
        <v>1010</v>
      </c>
      <c r="Y22" s="118">
        <v>2</v>
      </c>
      <c r="Z22" s="118" t="b">
        <f t="shared" si="1"/>
        <v>1</v>
      </c>
      <c r="AA22" s="116" t="b">
        <f t="shared" si="2"/>
        <v>0</v>
      </c>
      <c r="AB22" s="116" t="b">
        <f t="shared" si="3"/>
        <v>0</v>
      </c>
      <c r="AC22" s="116" t="b">
        <f t="shared" si="4"/>
        <v>0</v>
      </c>
      <c r="AD22" s="116" t="b">
        <f t="shared" si="5"/>
        <v>0</v>
      </c>
      <c r="AE22" s="116" t="b">
        <f t="shared" si="6"/>
        <v>0</v>
      </c>
      <c r="AF22" s="116" t="s">
        <v>864</v>
      </c>
      <c r="AG22" s="116" t="s">
        <v>865</v>
      </c>
      <c r="AH22" s="116">
        <v>0</v>
      </c>
      <c r="AI22" s="116">
        <v>0</v>
      </c>
      <c r="AJ22" s="116" t="s">
        <v>1127</v>
      </c>
      <c r="AK22" s="116"/>
      <c r="AL22" s="82"/>
      <c r="AM22" s="82"/>
      <c r="AN22" s="82"/>
      <c r="AO22" s="82"/>
      <c r="AP22" s="82"/>
    </row>
    <row r="23" spans="3:42" x14ac:dyDescent="0.25">
      <c r="C23" s="102" t="s">
        <v>894</v>
      </c>
      <c r="D23" s="102" t="s">
        <v>870</v>
      </c>
      <c r="E23" s="102" t="s">
        <v>4</v>
      </c>
      <c r="F23" s="102" t="s">
        <v>859</v>
      </c>
      <c r="G23" s="97">
        <v>6</v>
      </c>
      <c r="H23" s="115" t="s">
        <v>1008</v>
      </c>
      <c r="I23" s="115" t="s">
        <v>75</v>
      </c>
      <c r="J23" s="115"/>
      <c r="K23" s="115"/>
      <c r="L23" s="115"/>
      <c r="M23" s="115"/>
      <c r="N23" s="115" t="s">
        <v>155</v>
      </c>
      <c r="O23" s="115" t="s">
        <v>870</v>
      </c>
      <c r="P23" s="115" t="s">
        <v>4</v>
      </c>
      <c r="Q23" s="115"/>
      <c r="R23" s="115">
        <v>6</v>
      </c>
      <c r="S23" s="116" t="str">
        <f t="shared" si="0"/>
        <v/>
      </c>
      <c r="T23" s="117" t="s">
        <v>1026</v>
      </c>
      <c r="U23" s="115" t="s">
        <v>411</v>
      </c>
      <c r="V23" s="115" t="s">
        <v>412</v>
      </c>
      <c r="W23" s="115" t="s">
        <v>861</v>
      </c>
      <c r="X23" s="115" t="s">
        <v>1010</v>
      </c>
      <c r="Y23" s="118">
        <v>2</v>
      </c>
      <c r="Z23" s="118" t="b">
        <f t="shared" si="1"/>
        <v>1</v>
      </c>
      <c r="AA23" s="116" t="b">
        <f t="shared" si="2"/>
        <v>0</v>
      </c>
      <c r="AB23" s="116" t="b">
        <f t="shared" si="3"/>
        <v>0</v>
      </c>
      <c r="AC23" s="116" t="b">
        <f t="shared" si="4"/>
        <v>0</v>
      </c>
      <c r="AD23" s="116" t="b">
        <f t="shared" si="5"/>
        <v>0</v>
      </c>
      <c r="AE23" s="116" t="b">
        <f t="shared" si="6"/>
        <v>0</v>
      </c>
      <c r="AF23" s="116" t="s">
        <v>864</v>
      </c>
      <c r="AG23" s="116" t="s">
        <v>865</v>
      </c>
      <c r="AH23" s="116">
        <v>0</v>
      </c>
      <c r="AI23" s="116">
        <v>0</v>
      </c>
      <c r="AJ23" s="116" t="s">
        <v>1127</v>
      </c>
      <c r="AK23" s="116"/>
      <c r="AL23" s="82"/>
      <c r="AM23" s="82"/>
      <c r="AN23" s="82"/>
      <c r="AO23" s="82"/>
      <c r="AP23" s="82"/>
    </row>
    <row r="24" spans="3:42" x14ac:dyDescent="0.25">
      <c r="C24" s="102" t="s">
        <v>895</v>
      </c>
      <c r="D24" s="102" t="s">
        <v>871</v>
      </c>
      <c r="E24" s="102" t="s">
        <v>3</v>
      </c>
      <c r="F24" s="102" t="s">
        <v>859</v>
      </c>
      <c r="G24" s="97">
        <v>12</v>
      </c>
      <c r="H24" s="115" t="s">
        <v>1008</v>
      </c>
      <c r="I24" s="115" t="s">
        <v>75</v>
      </c>
      <c r="J24" s="115"/>
      <c r="K24" s="115"/>
      <c r="L24" s="115"/>
      <c r="M24" s="115"/>
      <c r="N24" s="115" t="s">
        <v>150</v>
      </c>
      <c r="O24" s="115" t="s">
        <v>871</v>
      </c>
      <c r="P24" s="115" t="s">
        <v>3</v>
      </c>
      <c r="Q24" s="115"/>
      <c r="R24" s="115">
        <v>12</v>
      </c>
      <c r="S24" s="116" t="str">
        <f t="shared" si="0"/>
        <v/>
      </c>
      <c r="T24" s="117" t="s">
        <v>1027</v>
      </c>
      <c r="U24" s="115" t="s">
        <v>411</v>
      </c>
      <c r="V24" s="115" t="s">
        <v>412</v>
      </c>
      <c r="W24" s="115" t="s">
        <v>861</v>
      </c>
      <c r="X24" s="115" t="s">
        <v>1010</v>
      </c>
      <c r="Y24" s="118">
        <v>2</v>
      </c>
      <c r="Z24" s="118" t="b">
        <f t="shared" si="1"/>
        <v>1</v>
      </c>
      <c r="AA24" s="116" t="b">
        <f t="shared" si="2"/>
        <v>0</v>
      </c>
      <c r="AB24" s="116" t="b">
        <f t="shared" si="3"/>
        <v>0</v>
      </c>
      <c r="AC24" s="116" t="b">
        <f t="shared" si="4"/>
        <v>0</v>
      </c>
      <c r="AD24" s="116" t="b">
        <f t="shared" si="5"/>
        <v>0</v>
      </c>
      <c r="AE24" s="116" t="b">
        <f t="shared" si="6"/>
        <v>0</v>
      </c>
      <c r="AF24" s="116" t="s">
        <v>864</v>
      </c>
      <c r="AG24" s="116" t="s">
        <v>865</v>
      </c>
      <c r="AH24" s="116">
        <v>0</v>
      </c>
      <c r="AI24" s="116">
        <v>0</v>
      </c>
      <c r="AJ24" s="116" t="s">
        <v>1127</v>
      </c>
      <c r="AK24" s="116"/>
      <c r="AL24" s="82"/>
      <c r="AM24" s="82"/>
      <c r="AN24" s="82"/>
      <c r="AO24" s="82"/>
      <c r="AP24" s="82"/>
    </row>
    <row r="25" spans="3:42" x14ac:dyDescent="0.25">
      <c r="C25" s="102" t="s">
        <v>896</v>
      </c>
      <c r="D25" s="102" t="s">
        <v>870</v>
      </c>
      <c r="E25" s="102" t="s">
        <v>4</v>
      </c>
      <c r="F25" s="102" t="s">
        <v>859</v>
      </c>
      <c r="G25" s="97">
        <v>6</v>
      </c>
      <c r="H25" s="115" t="s">
        <v>1008</v>
      </c>
      <c r="I25" s="115" t="s">
        <v>1</v>
      </c>
      <c r="J25" s="115"/>
      <c r="K25" s="115"/>
      <c r="L25" s="115"/>
      <c r="M25" s="115"/>
      <c r="N25" s="115" t="s">
        <v>87</v>
      </c>
      <c r="O25" s="115" t="s">
        <v>870</v>
      </c>
      <c r="P25" s="115" t="s">
        <v>4</v>
      </c>
      <c r="Q25" s="115"/>
      <c r="R25" s="115">
        <v>6</v>
      </c>
      <c r="S25" s="116" t="str">
        <f t="shared" si="0"/>
        <v/>
      </c>
      <c r="T25" s="117" t="s">
        <v>1028</v>
      </c>
      <c r="U25" s="115" t="s">
        <v>384</v>
      </c>
      <c r="V25" s="115" t="s">
        <v>378</v>
      </c>
      <c r="W25" s="115" t="s">
        <v>861</v>
      </c>
      <c r="X25" s="115" t="s">
        <v>1010</v>
      </c>
      <c r="Y25" s="118">
        <v>2</v>
      </c>
      <c r="Z25" s="118" t="b">
        <f t="shared" si="1"/>
        <v>1</v>
      </c>
      <c r="AA25" s="116" t="b">
        <f t="shared" si="2"/>
        <v>1</v>
      </c>
      <c r="AB25" s="116" t="b">
        <f t="shared" si="3"/>
        <v>0</v>
      </c>
      <c r="AC25" s="116" t="b">
        <f t="shared" si="4"/>
        <v>0</v>
      </c>
      <c r="AD25" s="116" t="b">
        <f t="shared" si="5"/>
        <v>0</v>
      </c>
      <c r="AE25" s="116" t="b">
        <f t="shared" si="6"/>
        <v>0</v>
      </c>
      <c r="AF25" s="116" t="s">
        <v>862</v>
      </c>
      <c r="AG25" s="116" t="s">
        <v>863</v>
      </c>
      <c r="AH25" s="116">
        <v>0.01</v>
      </c>
      <c r="AI25" s="116">
        <v>0.01</v>
      </c>
      <c r="AJ25" s="116"/>
      <c r="AK25" s="116"/>
      <c r="AL25" s="82"/>
      <c r="AM25" s="82"/>
      <c r="AN25" s="82"/>
      <c r="AO25" s="82"/>
      <c r="AP25" s="82"/>
    </row>
    <row r="26" spans="3:42" x14ac:dyDescent="0.25">
      <c r="C26" s="102" t="s">
        <v>897</v>
      </c>
      <c r="D26" s="102" t="s">
        <v>870</v>
      </c>
      <c r="E26" s="102" t="s">
        <v>4</v>
      </c>
      <c r="F26" s="102" t="s">
        <v>859</v>
      </c>
      <c r="G26" s="97">
        <v>9</v>
      </c>
      <c r="H26" s="115" t="s">
        <v>1008</v>
      </c>
      <c r="I26" s="115" t="s">
        <v>1</v>
      </c>
      <c r="J26" s="115"/>
      <c r="K26" s="115"/>
      <c r="L26" s="115"/>
      <c r="M26" s="115"/>
      <c r="N26" s="115" t="s">
        <v>87</v>
      </c>
      <c r="O26" s="115" t="s">
        <v>870</v>
      </c>
      <c r="P26" s="115" t="s">
        <v>4</v>
      </c>
      <c r="Q26" s="115"/>
      <c r="R26" s="115">
        <v>9</v>
      </c>
      <c r="S26" s="116" t="str">
        <f t="shared" si="0"/>
        <v/>
      </c>
      <c r="T26" s="117" t="s">
        <v>1029</v>
      </c>
      <c r="U26" s="115" t="s">
        <v>379</v>
      </c>
      <c r="V26" s="115" t="s">
        <v>378</v>
      </c>
      <c r="W26" s="115" t="s">
        <v>861</v>
      </c>
      <c r="X26" s="115" t="s">
        <v>1010</v>
      </c>
      <c r="Y26" s="118">
        <v>2</v>
      </c>
      <c r="Z26" s="118" t="b">
        <f t="shared" si="1"/>
        <v>1</v>
      </c>
      <c r="AA26" s="116" t="b">
        <f t="shared" si="2"/>
        <v>1</v>
      </c>
      <c r="AB26" s="116" t="b">
        <f t="shared" si="3"/>
        <v>0</v>
      </c>
      <c r="AC26" s="116" t="b">
        <f t="shared" si="4"/>
        <v>0</v>
      </c>
      <c r="AD26" s="116" t="b">
        <f t="shared" si="5"/>
        <v>0</v>
      </c>
      <c r="AE26" s="116" t="b">
        <f t="shared" si="6"/>
        <v>0</v>
      </c>
      <c r="AF26" s="116" t="s">
        <v>862</v>
      </c>
      <c r="AG26" s="116" t="s">
        <v>863</v>
      </c>
      <c r="AH26" s="116">
        <v>0.01</v>
      </c>
      <c r="AI26" s="116">
        <v>0.01</v>
      </c>
      <c r="AJ26" s="116"/>
      <c r="AK26" s="116"/>
      <c r="AL26" s="82"/>
      <c r="AM26" s="82"/>
      <c r="AN26" s="82"/>
      <c r="AO26" s="82"/>
      <c r="AP26" s="82"/>
    </row>
    <row r="27" spans="3:42" x14ac:dyDescent="0.25">
      <c r="C27" s="102" t="s">
        <v>885</v>
      </c>
      <c r="D27" s="102" t="s">
        <v>871</v>
      </c>
      <c r="E27" s="102" t="s">
        <v>3</v>
      </c>
      <c r="F27" s="102" t="s">
        <v>859</v>
      </c>
      <c r="G27" s="97">
        <v>12</v>
      </c>
      <c r="H27" s="115" t="s">
        <v>1008</v>
      </c>
      <c r="I27" s="115" t="s">
        <v>75</v>
      </c>
      <c r="J27" s="115"/>
      <c r="K27" s="115"/>
      <c r="L27" s="115"/>
      <c r="M27" s="115"/>
      <c r="N27" s="115" t="s">
        <v>150</v>
      </c>
      <c r="O27" s="115" t="s">
        <v>871</v>
      </c>
      <c r="P27" s="115" t="s">
        <v>1016</v>
      </c>
      <c r="Q27" s="115"/>
      <c r="R27" s="115">
        <v>12</v>
      </c>
      <c r="S27" s="116" t="str">
        <f t="shared" si="0"/>
        <v/>
      </c>
      <c r="T27" s="117" t="s">
        <v>1017</v>
      </c>
      <c r="U27" s="115" t="s">
        <v>418</v>
      </c>
      <c r="V27" s="115" t="s">
        <v>6</v>
      </c>
      <c r="W27" s="115" t="s">
        <v>861</v>
      </c>
      <c r="X27" s="115" t="s">
        <v>1010</v>
      </c>
      <c r="Y27" s="118">
        <v>2</v>
      </c>
      <c r="Z27" s="118" t="b">
        <f t="shared" si="1"/>
        <v>1</v>
      </c>
      <c r="AA27" s="116" t="b">
        <f t="shared" si="2"/>
        <v>0</v>
      </c>
      <c r="AB27" s="116" t="b">
        <f t="shared" si="3"/>
        <v>0</v>
      </c>
      <c r="AC27" s="116" t="b">
        <f t="shared" si="4"/>
        <v>1</v>
      </c>
      <c r="AD27" s="116" t="b">
        <f t="shared" si="5"/>
        <v>0</v>
      </c>
      <c r="AE27" s="116" t="b">
        <f t="shared" si="6"/>
        <v>0</v>
      </c>
      <c r="AF27" s="116" t="s">
        <v>864</v>
      </c>
      <c r="AG27" s="116" t="s">
        <v>865</v>
      </c>
      <c r="AH27" s="116">
        <v>0</v>
      </c>
      <c r="AI27" s="116">
        <v>0</v>
      </c>
      <c r="AJ27" s="116" t="s">
        <v>1127</v>
      </c>
      <c r="AK27" s="116"/>
      <c r="AL27" s="82"/>
      <c r="AM27" s="82"/>
      <c r="AN27" s="82"/>
      <c r="AO27" s="82"/>
      <c r="AP27" s="82"/>
    </row>
    <row r="28" spans="3:42" x14ac:dyDescent="0.25">
      <c r="C28" s="102" t="s">
        <v>898</v>
      </c>
      <c r="D28" s="102" t="s">
        <v>871</v>
      </c>
      <c r="E28" s="102" t="s">
        <v>3</v>
      </c>
      <c r="F28" s="102" t="s">
        <v>859</v>
      </c>
      <c r="G28" s="97">
        <v>12</v>
      </c>
      <c r="H28" s="115" t="s">
        <v>1008</v>
      </c>
      <c r="I28" s="115" t="s">
        <v>75</v>
      </c>
      <c r="J28" s="115"/>
      <c r="K28" s="115"/>
      <c r="L28" s="115"/>
      <c r="M28" s="115"/>
      <c r="N28" s="115" t="s">
        <v>150</v>
      </c>
      <c r="O28" s="115" t="s">
        <v>871</v>
      </c>
      <c r="P28" s="115" t="s">
        <v>3</v>
      </c>
      <c r="Q28" s="115"/>
      <c r="R28" s="115">
        <v>12</v>
      </c>
      <c r="S28" s="116" t="str">
        <f t="shared" si="0"/>
        <v/>
      </c>
      <c r="T28" s="117" t="s">
        <v>1030</v>
      </c>
      <c r="U28" s="115" t="s">
        <v>380</v>
      </c>
      <c r="V28" s="115" t="s">
        <v>378</v>
      </c>
      <c r="W28" s="115" t="s">
        <v>861</v>
      </c>
      <c r="X28" s="115" t="s">
        <v>1010</v>
      </c>
      <c r="Y28" s="118">
        <v>2</v>
      </c>
      <c r="Z28" s="118" t="b">
        <f t="shared" si="1"/>
        <v>1</v>
      </c>
      <c r="AA28" s="116" t="b">
        <f t="shared" si="2"/>
        <v>0</v>
      </c>
      <c r="AB28" s="116" t="b">
        <f t="shared" si="3"/>
        <v>0</v>
      </c>
      <c r="AC28" s="116" t="b">
        <f t="shared" si="4"/>
        <v>0</v>
      </c>
      <c r="AD28" s="116" t="b">
        <f t="shared" si="5"/>
        <v>0</v>
      </c>
      <c r="AE28" s="116" t="b">
        <f t="shared" si="6"/>
        <v>0</v>
      </c>
      <c r="AF28" s="116" t="s">
        <v>864</v>
      </c>
      <c r="AG28" s="116" t="s">
        <v>865</v>
      </c>
      <c r="AH28" s="116">
        <v>0</v>
      </c>
      <c r="AI28" s="116">
        <v>0</v>
      </c>
      <c r="AJ28" s="116" t="s">
        <v>1127</v>
      </c>
      <c r="AK28" s="116"/>
      <c r="AL28" s="82"/>
      <c r="AM28" s="82"/>
      <c r="AN28" s="82"/>
      <c r="AO28" s="82"/>
      <c r="AP28" s="82"/>
    </row>
    <row r="29" spans="3:42" x14ac:dyDescent="0.25">
      <c r="C29" s="102" t="s">
        <v>899</v>
      </c>
      <c r="D29" s="102" t="s">
        <v>870</v>
      </c>
      <c r="E29" s="102" t="s">
        <v>4</v>
      </c>
      <c r="F29" s="102" t="s">
        <v>859</v>
      </c>
      <c r="G29" s="97">
        <v>6</v>
      </c>
      <c r="H29" s="115" t="s">
        <v>1008</v>
      </c>
      <c r="I29" s="115" t="s">
        <v>1</v>
      </c>
      <c r="J29" s="115"/>
      <c r="K29" s="115"/>
      <c r="L29" s="115"/>
      <c r="M29" s="115"/>
      <c r="N29" s="115" t="s">
        <v>87</v>
      </c>
      <c r="O29" s="115" t="s">
        <v>870</v>
      </c>
      <c r="P29" s="115" t="s">
        <v>4</v>
      </c>
      <c r="Q29" s="115"/>
      <c r="R29" s="115">
        <v>6</v>
      </c>
      <c r="S29" s="116" t="str">
        <f t="shared" si="0"/>
        <v/>
      </c>
      <c r="T29" s="117" t="s">
        <v>1031</v>
      </c>
      <c r="U29" s="115" t="s">
        <v>377</v>
      </c>
      <c r="V29" s="115" t="s">
        <v>378</v>
      </c>
      <c r="W29" s="115" t="s">
        <v>861</v>
      </c>
      <c r="X29" s="115" t="s">
        <v>1010</v>
      </c>
      <c r="Y29" s="118">
        <v>2</v>
      </c>
      <c r="Z29" s="118" t="b">
        <f t="shared" si="1"/>
        <v>1</v>
      </c>
      <c r="AA29" s="116" t="b">
        <f t="shared" si="2"/>
        <v>1</v>
      </c>
      <c r="AB29" s="116" t="b">
        <f t="shared" si="3"/>
        <v>0</v>
      </c>
      <c r="AC29" s="116" t="b">
        <f t="shared" si="4"/>
        <v>0</v>
      </c>
      <c r="AD29" s="116" t="b">
        <f t="shared" si="5"/>
        <v>0</v>
      </c>
      <c r="AE29" s="116" t="b">
        <f t="shared" si="6"/>
        <v>0</v>
      </c>
      <c r="AF29" s="116" t="s">
        <v>862</v>
      </c>
      <c r="AG29" s="116" t="s">
        <v>863</v>
      </c>
      <c r="AH29" s="116">
        <v>0.01</v>
      </c>
      <c r="AI29" s="116">
        <v>0.01</v>
      </c>
      <c r="AJ29" s="116"/>
      <c r="AK29" s="116"/>
      <c r="AL29" s="82"/>
      <c r="AM29" s="82"/>
      <c r="AN29" s="82"/>
      <c r="AO29" s="82"/>
      <c r="AP29" s="82"/>
    </row>
    <row r="30" spans="3:42" x14ac:dyDescent="0.25">
      <c r="C30" s="102" t="s">
        <v>900</v>
      </c>
      <c r="D30" s="102" t="s">
        <v>871</v>
      </c>
      <c r="E30" s="102" t="s">
        <v>4</v>
      </c>
      <c r="F30" s="102" t="s">
        <v>859</v>
      </c>
      <c r="G30" s="97">
        <v>9</v>
      </c>
      <c r="H30" s="115" t="s">
        <v>1008</v>
      </c>
      <c r="I30" s="115" t="s">
        <v>75</v>
      </c>
      <c r="J30" s="115"/>
      <c r="K30" s="115"/>
      <c r="L30" s="115"/>
      <c r="M30" s="115"/>
      <c r="N30" s="115" t="s">
        <v>150</v>
      </c>
      <c r="O30" s="115" t="s">
        <v>871</v>
      </c>
      <c r="P30" s="115" t="s">
        <v>4</v>
      </c>
      <c r="Q30" s="115"/>
      <c r="R30" s="115">
        <v>9</v>
      </c>
      <c r="S30" s="116" t="str">
        <f t="shared" si="0"/>
        <v/>
      </c>
      <c r="T30" s="117" t="s">
        <v>1032</v>
      </c>
      <c r="U30" s="115" t="s">
        <v>377</v>
      </c>
      <c r="V30" s="115" t="s">
        <v>378</v>
      </c>
      <c r="W30" s="115" t="s">
        <v>861</v>
      </c>
      <c r="X30" s="115" t="s">
        <v>1010</v>
      </c>
      <c r="Y30" s="118">
        <v>2</v>
      </c>
      <c r="Z30" s="118" t="b">
        <f t="shared" si="1"/>
        <v>1</v>
      </c>
      <c r="AA30" s="116" t="b">
        <f t="shared" si="2"/>
        <v>0</v>
      </c>
      <c r="AB30" s="116" t="b">
        <f t="shared" si="3"/>
        <v>0</v>
      </c>
      <c r="AC30" s="116" t="b">
        <f t="shared" si="4"/>
        <v>0</v>
      </c>
      <c r="AD30" s="116" t="b">
        <f t="shared" si="5"/>
        <v>0</v>
      </c>
      <c r="AE30" s="116" t="b">
        <f t="shared" si="6"/>
        <v>0</v>
      </c>
      <c r="AF30" s="116" t="s">
        <v>864</v>
      </c>
      <c r="AG30" s="116" t="s">
        <v>865</v>
      </c>
      <c r="AH30" s="116">
        <v>0</v>
      </c>
      <c r="AI30" s="116">
        <v>0</v>
      </c>
      <c r="AJ30" s="116" t="s">
        <v>1127</v>
      </c>
      <c r="AK30" s="116"/>
      <c r="AL30" s="82"/>
      <c r="AM30" s="82"/>
      <c r="AN30" s="82"/>
      <c r="AO30" s="82"/>
      <c r="AP30" s="82"/>
    </row>
    <row r="31" spans="3:42" x14ac:dyDescent="0.25">
      <c r="C31" s="102" t="s">
        <v>901</v>
      </c>
      <c r="D31" s="102" t="s">
        <v>871</v>
      </c>
      <c r="E31" s="102" t="s">
        <v>3</v>
      </c>
      <c r="F31" s="102" t="s">
        <v>859</v>
      </c>
      <c r="G31" s="97">
        <v>15</v>
      </c>
      <c r="H31" s="115" t="s">
        <v>1008</v>
      </c>
      <c r="I31" s="115" t="s">
        <v>75</v>
      </c>
      <c r="J31" s="115"/>
      <c r="K31" s="115"/>
      <c r="L31" s="115"/>
      <c r="M31" s="115"/>
      <c r="N31" s="115" t="s">
        <v>150</v>
      </c>
      <c r="O31" s="115" t="s">
        <v>871</v>
      </c>
      <c r="P31" s="115" t="s">
        <v>3</v>
      </c>
      <c r="Q31" s="115"/>
      <c r="R31" s="115">
        <v>15</v>
      </c>
      <c r="S31" s="116" t="str">
        <f t="shared" si="0"/>
        <v/>
      </c>
      <c r="T31" s="117" t="s">
        <v>1033</v>
      </c>
      <c r="U31" s="115" t="s">
        <v>377</v>
      </c>
      <c r="V31" s="115" t="s">
        <v>378</v>
      </c>
      <c r="W31" s="115" t="s">
        <v>861</v>
      </c>
      <c r="X31" s="115" t="s">
        <v>1010</v>
      </c>
      <c r="Y31" s="118">
        <v>2</v>
      </c>
      <c r="Z31" s="118" t="b">
        <f t="shared" si="1"/>
        <v>1</v>
      </c>
      <c r="AA31" s="116" t="b">
        <f t="shared" si="2"/>
        <v>0</v>
      </c>
      <c r="AB31" s="116" t="b">
        <f t="shared" si="3"/>
        <v>0</v>
      </c>
      <c r="AC31" s="116" t="b">
        <f t="shared" si="4"/>
        <v>0</v>
      </c>
      <c r="AD31" s="116" t="b">
        <f t="shared" si="5"/>
        <v>0</v>
      </c>
      <c r="AE31" s="116" t="b">
        <f t="shared" si="6"/>
        <v>0</v>
      </c>
      <c r="AF31" s="116" t="s">
        <v>864</v>
      </c>
      <c r="AG31" s="116" t="s">
        <v>865</v>
      </c>
      <c r="AH31" s="116">
        <v>0</v>
      </c>
      <c r="AI31" s="116">
        <v>0</v>
      </c>
      <c r="AJ31" s="116" t="s">
        <v>1127</v>
      </c>
      <c r="AK31" s="116"/>
      <c r="AL31" s="82"/>
      <c r="AM31" s="82"/>
      <c r="AN31" s="82"/>
      <c r="AO31" s="82"/>
      <c r="AP31" s="82"/>
    </row>
    <row r="32" spans="3:42" x14ac:dyDescent="0.25">
      <c r="C32" s="102" t="s">
        <v>902</v>
      </c>
      <c r="D32" s="102" t="s">
        <v>870</v>
      </c>
      <c r="E32" s="102" t="s">
        <v>4</v>
      </c>
      <c r="F32" s="102" t="s">
        <v>859</v>
      </c>
      <c r="G32" s="97">
        <v>6</v>
      </c>
      <c r="H32" s="115" t="s">
        <v>1008</v>
      </c>
      <c r="I32" s="115" t="s">
        <v>75</v>
      </c>
      <c r="J32" s="115"/>
      <c r="K32" s="115"/>
      <c r="L32" s="115"/>
      <c r="M32" s="115"/>
      <c r="N32" s="115" t="s">
        <v>155</v>
      </c>
      <c r="O32" s="115" t="s">
        <v>870</v>
      </c>
      <c r="P32" s="115" t="s">
        <v>4</v>
      </c>
      <c r="Q32" s="115"/>
      <c r="R32" s="115">
        <v>6</v>
      </c>
      <c r="S32" s="116" t="str">
        <f t="shared" si="0"/>
        <v/>
      </c>
      <c r="T32" s="117" t="s">
        <v>1034</v>
      </c>
      <c r="U32" s="115" t="s">
        <v>417</v>
      </c>
      <c r="V32" s="115" t="s">
        <v>6</v>
      </c>
      <c r="W32" s="115" t="s">
        <v>861</v>
      </c>
      <c r="X32" s="115" t="s">
        <v>1010</v>
      </c>
      <c r="Y32" s="118">
        <v>2</v>
      </c>
      <c r="Z32" s="118" t="b">
        <f t="shared" si="1"/>
        <v>1</v>
      </c>
      <c r="AA32" s="116" t="b">
        <f t="shared" si="2"/>
        <v>0</v>
      </c>
      <c r="AB32" s="116" t="b">
        <f t="shared" si="3"/>
        <v>0</v>
      </c>
      <c r="AC32" s="116" t="b">
        <f t="shared" si="4"/>
        <v>0</v>
      </c>
      <c r="AD32" s="116" t="b">
        <f t="shared" si="5"/>
        <v>0</v>
      </c>
      <c r="AE32" s="116" t="b">
        <f t="shared" si="6"/>
        <v>0</v>
      </c>
      <c r="AF32" s="116" t="s">
        <v>864</v>
      </c>
      <c r="AG32" s="116" t="s">
        <v>865</v>
      </c>
      <c r="AH32" s="116">
        <v>0</v>
      </c>
      <c r="AI32" s="116">
        <v>0</v>
      </c>
      <c r="AJ32" s="116" t="s">
        <v>1127</v>
      </c>
      <c r="AK32" s="116"/>
      <c r="AL32" s="82"/>
      <c r="AM32" s="82"/>
      <c r="AN32" s="82"/>
      <c r="AO32" s="82"/>
      <c r="AP32" s="82"/>
    </row>
    <row r="33" spans="3:42" x14ac:dyDescent="0.25">
      <c r="C33" s="102" t="s">
        <v>903</v>
      </c>
      <c r="D33" s="102" t="s">
        <v>871</v>
      </c>
      <c r="E33" s="102" t="s">
        <v>3</v>
      </c>
      <c r="F33" s="102" t="s">
        <v>859</v>
      </c>
      <c r="G33" s="97">
        <v>6</v>
      </c>
      <c r="H33" s="115" t="s">
        <v>1008</v>
      </c>
      <c r="I33" s="115" t="s">
        <v>75</v>
      </c>
      <c r="J33" s="115"/>
      <c r="K33" s="115"/>
      <c r="L33" s="115"/>
      <c r="M33" s="115"/>
      <c r="N33" s="115" t="s">
        <v>150</v>
      </c>
      <c r="O33" s="115" t="s">
        <v>871</v>
      </c>
      <c r="P33" s="115" t="s">
        <v>3</v>
      </c>
      <c r="Q33" s="115"/>
      <c r="R33" s="115">
        <v>6</v>
      </c>
      <c r="S33" s="116" t="str">
        <f t="shared" si="0"/>
        <v/>
      </c>
      <c r="T33" s="117" t="s">
        <v>1035</v>
      </c>
      <c r="U33" s="115" t="s">
        <v>388</v>
      </c>
      <c r="V33" s="115" t="s">
        <v>386</v>
      </c>
      <c r="W33" s="115" t="s">
        <v>861</v>
      </c>
      <c r="X33" s="115" t="s">
        <v>1010</v>
      </c>
      <c r="Y33" s="118">
        <v>2</v>
      </c>
      <c r="Z33" s="118" t="b">
        <f t="shared" si="1"/>
        <v>1</v>
      </c>
      <c r="AA33" s="116" t="b">
        <f t="shared" si="2"/>
        <v>0</v>
      </c>
      <c r="AB33" s="116" t="b">
        <f t="shared" si="3"/>
        <v>0</v>
      </c>
      <c r="AC33" s="116" t="b">
        <f t="shared" si="4"/>
        <v>0</v>
      </c>
      <c r="AD33" s="116" t="b">
        <f t="shared" si="5"/>
        <v>0</v>
      </c>
      <c r="AE33" s="116" t="b">
        <f t="shared" si="6"/>
        <v>0</v>
      </c>
      <c r="AF33" s="116" t="s">
        <v>864</v>
      </c>
      <c r="AG33" s="116" t="s">
        <v>865</v>
      </c>
      <c r="AH33" s="116">
        <v>0</v>
      </c>
      <c r="AI33" s="116">
        <v>0</v>
      </c>
      <c r="AJ33" s="116" t="s">
        <v>1127</v>
      </c>
      <c r="AK33" s="116"/>
      <c r="AL33" s="82"/>
      <c r="AM33" s="82"/>
      <c r="AN33" s="82"/>
      <c r="AO33" s="82"/>
      <c r="AP33" s="82"/>
    </row>
    <row r="34" spans="3:42" x14ac:dyDescent="0.25">
      <c r="C34" s="102" t="s">
        <v>904</v>
      </c>
      <c r="D34" s="102" t="s">
        <v>870</v>
      </c>
      <c r="E34" s="102" t="s">
        <v>4</v>
      </c>
      <c r="F34" s="102" t="s">
        <v>859</v>
      </c>
      <c r="G34" s="97">
        <v>6</v>
      </c>
      <c r="H34" s="115" t="s">
        <v>1008</v>
      </c>
      <c r="I34" s="115" t="s">
        <v>75</v>
      </c>
      <c r="J34" s="115"/>
      <c r="K34" s="115"/>
      <c r="L34" s="115"/>
      <c r="M34" s="115"/>
      <c r="N34" s="115" t="s">
        <v>155</v>
      </c>
      <c r="O34" s="115" t="s">
        <v>870</v>
      </c>
      <c r="P34" s="115" t="s">
        <v>4</v>
      </c>
      <c r="Q34" s="115"/>
      <c r="R34" s="115">
        <v>6</v>
      </c>
      <c r="S34" s="116" t="str">
        <f t="shared" si="0"/>
        <v/>
      </c>
      <c r="T34" s="117" t="s">
        <v>1036</v>
      </c>
      <c r="U34" s="115" t="s">
        <v>428</v>
      </c>
      <c r="V34" s="115" t="s">
        <v>426</v>
      </c>
      <c r="W34" s="115" t="s">
        <v>861</v>
      </c>
      <c r="X34" s="115" t="s">
        <v>1010</v>
      </c>
      <c r="Y34" s="118">
        <v>2</v>
      </c>
      <c r="Z34" s="118" t="b">
        <f t="shared" si="1"/>
        <v>1</v>
      </c>
      <c r="AA34" s="116" t="b">
        <f t="shared" si="2"/>
        <v>0</v>
      </c>
      <c r="AB34" s="116" t="b">
        <f t="shared" si="3"/>
        <v>0</v>
      </c>
      <c r="AC34" s="116" t="b">
        <f t="shared" si="4"/>
        <v>0</v>
      </c>
      <c r="AD34" s="116" t="b">
        <f t="shared" si="5"/>
        <v>0</v>
      </c>
      <c r="AE34" s="116" t="b">
        <f t="shared" si="6"/>
        <v>0</v>
      </c>
      <c r="AF34" s="116" t="s">
        <v>864</v>
      </c>
      <c r="AG34" s="116" t="s">
        <v>865</v>
      </c>
      <c r="AH34" s="116">
        <v>0</v>
      </c>
      <c r="AI34" s="116">
        <v>0</v>
      </c>
      <c r="AJ34" s="116" t="s">
        <v>1127</v>
      </c>
      <c r="AK34" s="116"/>
      <c r="AL34" s="82"/>
      <c r="AM34" s="82"/>
      <c r="AN34" s="82"/>
      <c r="AO34" s="82"/>
      <c r="AP34" s="82"/>
    </row>
    <row r="35" spans="3:42" x14ac:dyDescent="0.25">
      <c r="C35" s="102" t="s">
        <v>905</v>
      </c>
      <c r="D35" s="102" t="s">
        <v>871</v>
      </c>
      <c r="E35" s="102" t="s">
        <v>4</v>
      </c>
      <c r="F35" s="102" t="s">
        <v>859</v>
      </c>
      <c r="G35" s="97">
        <v>9</v>
      </c>
      <c r="H35" s="115" t="s">
        <v>1008</v>
      </c>
      <c r="I35" s="115" t="s">
        <v>236</v>
      </c>
      <c r="J35" s="115"/>
      <c r="K35" s="115"/>
      <c r="L35" s="115"/>
      <c r="M35" s="115"/>
      <c r="N35" s="115" t="s">
        <v>89</v>
      </c>
      <c r="O35" s="115" t="s">
        <v>871</v>
      </c>
      <c r="P35" s="115" t="s">
        <v>3</v>
      </c>
      <c r="Q35" s="115"/>
      <c r="R35" s="115">
        <v>9</v>
      </c>
      <c r="S35" s="116" t="str">
        <f t="shared" si="0"/>
        <v/>
      </c>
      <c r="T35" s="117" t="s">
        <v>1037</v>
      </c>
      <c r="U35" s="115" t="s">
        <v>428</v>
      </c>
      <c r="V35" s="115" t="s">
        <v>426</v>
      </c>
      <c r="W35" s="115" t="s">
        <v>861</v>
      </c>
      <c r="X35" s="115" t="s">
        <v>1010</v>
      </c>
      <c r="Y35" s="118">
        <v>2</v>
      </c>
      <c r="Z35" s="118" t="b">
        <f t="shared" si="1"/>
        <v>1</v>
      </c>
      <c r="AA35" s="116" t="b">
        <f t="shared" si="2"/>
        <v>1</v>
      </c>
      <c r="AB35" s="116" t="b">
        <f t="shared" si="3"/>
        <v>0</v>
      </c>
      <c r="AC35" s="116" t="b">
        <f t="shared" si="4"/>
        <v>1</v>
      </c>
      <c r="AD35" s="116" t="b">
        <f t="shared" si="5"/>
        <v>0</v>
      </c>
      <c r="AE35" s="116" t="b">
        <f t="shared" si="6"/>
        <v>0</v>
      </c>
      <c r="AF35" s="116" t="s">
        <v>862</v>
      </c>
      <c r="AG35" s="116" t="s">
        <v>863</v>
      </c>
      <c r="AH35" s="116">
        <v>0.01</v>
      </c>
      <c r="AI35" s="116">
        <v>0.01</v>
      </c>
      <c r="AJ35" s="116"/>
      <c r="AK35" s="116"/>
      <c r="AL35" s="82"/>
      <c r="AM35" s="82"/>
      <c r="AN35" s="82"/>
      <c r="AO35" s="82"/>
      <c r="AP35" s="82"/>
    </row>
    <row r="36" spans="3:42" x14ac:dyDescent="0.25">
      <c r="C36" s="102" t="s">
        <v>906</v>
      </c>
      <c r="D36" s="102" t="s">
        <v>870</v>
      </c>
      <c r="E36" s="102" t="s">
        <v>4</v>
      </c>
      <c r="F36" s="102" t="s">
        <v>859</v>
      </c>
      <c r="G36" s="97">
        <v>6</v>
      </c>
      <c r="H36" s="115" t="s">
        <v>1008</v>
      </c>
      <c r="I36" s="115" t="s">
        <v>75</v>
      </c>
      <c r="J36" s="115"/>
      <c r="K36" s="115"/>
      <c r="L36" s="115"/>
      <c r="M36" s="115"/>
      <c r="N36" s="115" t="s">
        <v>155</v>
      </c>
      <c r="O36" s="115" t="s">
        <v>870</v>
      </c>
      <c r="P36" s="115" t="s">
        <v>4</v>
      </c>
      <c r="Q36" s="115"/>
      <c r="R36" s="115">
        <v>6</v>
      </c>
      <c r="S36" s="116" t="str">
        <f t="shared" si="0"/>
        <v/>
      </c>
      <c r="T36" s="117" t="s">
        <v>1038</v>
      </c>
      <c r="U36" s="115" t="s">
        <v>363</v>
      </c>
      <c r="V36" s="115" t="s">
        <v>360</v>
      </c>
      <c r="W36" s="115" t="s">
        <v>861</v>
      </c>
      <c r="X36" s="115" t="s">
        <v>1010</v>
      </c>
      <c r="Y36" s="118">
        <v>2</v>
      </c>
      <c r="Z36" s="118" t="b">
        <f t="shared" si="1"/>
        <v>1</v>
      </c>
      <c r="AA36" s="116" t="b">
        <f t="shared" si="2"/>
        <v>0</v>
      </c>
      <c r="AB36" s="116" t="b">
        <f t="shared" si="3"/>
        <v>0</v>
      </c>
      <c r="AC36" s="116" t="b">
        <f t="shared" si="4"/>
        <v>0</v>
      </c>
      <c r="AD36" s="116" t="b">
        <f t="shared" si="5"/>
        <v>0</v>
      </c>
      <c r="AE36" s="116" t="b">
        <f t="shared" si="6"/>
        <v>0</v>
      </c>
      <c r="AF36" s="116" t="s">
        <v>864</v>
      </c>
      <c r="AG36" s="116" t="s">
        <v>865</v>
      </c>
      <c r="AH36" s="116">
        <v>0</v>
      </c>
      <c r="AI36" s="116">
        <v>0</v>
      </c>
      <c r="AJ36" s="116" t="s">
        <v>1127</v>
      </c>
      <c r="AK36" s="116"/>
      <c r="AL36" s="82"/>
      <c r="AM36" s="82"/>
      <c r="AN36" s="82"/>
      <c r="AO36" s="82"/>
      <c r="AP36" s="82"/>
    </row>
    <row r="37" spans="3:42" x14ac:dyDescent="0.25">
      <c r="C37" s="102" t="s">
        <v>907</v>
      </c>
      <c r="D37" s="102" t="s">
        <v>871</v>
      </c>
      <c r="E37" s="102" t="s">
        <v>3</v>
      </c>
      <c r="F37" s="102" t="s">
        <v>859</v>
      </c>
      <c r="G37" s="97">
        <v>6</v>
      </c>
      <c r="H37" s="115" t="s">
        <v>1008</v>
      </c>
      <c r="I37" s="115" t="s">
        <v>75</v>
      </c>
      <c r="J37" s="115"/>
      <c r="K37" s="115"/>
      <c r="L37" s="115"/>
      <c r="M37" s="115"/>
      <c r="N37" s="115" t="s">
        <v>150</v>
      </c>
      <c r="O37" s="115" t="s">
        <v>871</v>
      </c>
      <c r="P37" s="115" t="s">
        <v>3</v>
      </c>
      <c r="Q37" s="115"/>
      <c r="R37" s="115">
        <v>6</v>
      </c>
      <c r="S37" s="116" t="str">
        <f t="shared" si="0"/>
        <v/>
      </c>
      <c r="T37" s="117" t="s">
        <v>1039</v>
      </c>
      <c r="U37" s="115" t="s">
        <v>395</v>
      </c>
      <c r="V37" s="115" t="s">
        <v>8</v>
      </c>
      <c r="W37" s="115" t="s">
        <v>861</v>
      </c>
      <c r="X37" s="115" t="s">
        <v>1010</v>
      </c>
      <c r="Y37" s="118">
        <v>2</v>
      </c>
      <c r="Z37" s="118" t="b">
        <f t="shared" si="1"/>
        <v>1</v>
      </c>
      <c r="AA37" s="116" t="b">
        <f t="shared" si="2"/>
        <v>0</v>
      </c>
      <c r="AB37" s="116" t="b">
        <f t="shared" si="3"/>
        <v>0</v>
      </c>
      <c r="AC37" s="116" t="b">
        <f t="shared" si="4"/>
        <v>0</v>
      </c>
      <c r="AD37" s="116" t="b">
        <f t="shared" si="5"/>
        <v>0</v>
      </c>
      <c r="AE37" s="116" t="b">
        <f t="shared" si="6"/>
        <v>0</v>
      </c>
      <c r="AF37" s="116" t="s">
        <v>864</v>
      </c>
      <c r="AG37" s="116" t="s">
        <v>865</v>
      </c>
      <c r="AH37" s="116">
        <v>0</v>
      </c>
      <c r="AI37" s="116">
        <v>0</v>
      </c>
      <c r="AJ37" s="116" t="s">
        <v>1127</v>
      </c>
      <c r="AK37" s="116"/>
      <c r="AL37" s="82"/>
      <c r="AM37" s="82"/>
      <c r="AN37" s="82"/>
      <c r="AO37" s="82"/>
      <c r="AP37" s="82"/>
    </row>
    <row r="38" spans="3:42" x14ac:dyDescent="0.25">
      <c r="C38" s="102" t="s">
        <v>908</v>
      </c>
      <c r="D38" s="102" t="s">
        <v>870</v>
      </c>
      <c r="E38" s="102" t="s">
        <v>4</v>
      </c>
      <c r="F38" s="102" t="s">
        <v>859</v>
      </c>
      <c r="G38" s="97">
        <v>9</v>
      </c>
      <c r="H38" s="115" t="s">
        <v>1008</v>
      </c>
      <c r="I38" s="115" t="s">
        <v>75</v>
      </c>
      <c r="J38" s="115"/>
      <c r="K38" s="115"/>
      <c r="L38" s="115"/>
      <c r="M38" s="115"/>
      <c r="N38" s="115" t="s">
        <v>150</v>
      </c>
      <c r="O38" s="115" t="s">
        <v>871</v>
      </c>
      <c r="P38" s="115" t="s">
        <v>1016</v>
      </c>
      <c r="Q38" s="115"/>
      <c r="R38" s="115">
        <v>6</v>
      </c>
      <c r="S38" s="116" t="str">
        <f t="shared" si="0"/>
        <v/>
      </c>
      <c r="T38" s="117" t="s">
        <v>1040</v>
      </c>
      <c r="U38" s="115" t="s">
        <v>395</v>
      </c>
      <c r="V38" s="115" t="s">
        <v>8</v>
      </c>
      <c r="W38" s="115" t="s">
        <v>861</v>
      </c>
      <c r="X38" s="115" t="s">
        <v>1010</v>
      </c>
      <c r="Y38" s="118">
        <v>2</v>
      </c>
      <c r="Z38" s="118" t="b">
        <f t="shared" si="1"/>
        <v>1</v>
      </c>
      <c r="AA38" s="116" t="b">
        <f t="shared" si="2"/>
        <v>0</v>
      </c>
      <c r="AB38" s="116" t="b">
        <f t="shared" si="3"/>
        <v>1</v>
      </c>
      <c r="AC38" s="116" t="b">
        <f t="shared" si="4"/>
        <v>1</v>
      </c>
      <c r="AD38" s="116" t="b">
        <f t="shared" si="5"/>
        <v>0</v>
      </c>
      <c r="AE38" s="116" t="b">
        <f t="shared" si="6"/>
        <v>1</v>
      </c>
      <c r="AF38" s="116" t="s">
        <v>864</v>
      </c>
      <c r="AG38" s="116" t="s">
        <v>865</v>
      </c>
      <c r="AH38" s="116">
        <v>0</v>
      </c>
      <c r="AI38" s="116">
        <v>0</v>
      </c>
      <c r="AJ38" s="116" t="s">
        <v>1127</v>
      </c>
      <c r="AK38" s="116"/>
      <c r="AL38" s="82"/>
      <c r="AM38" s="82"/>
      <c r="AN38" s="82"/>
      <c r="AO38" s="82"/>
      <c r="AP38" s="82"/>
    </row>
    <row r="39" spans="3:42" x14ac:dyDescent="0.25">
      <c r="C39" s="102" t="s">
        <v>909</v>
      </c>
      <c r="D39" s="102" t="s">
        <v>870</v>
      </c>
      <c r="E39" s="102" t="s">
        <v>4</v>
      </c>
      <c r="F39" s="102" t="s">
        <v>859</v>
      </c>
      <c r="G39" s="97">
        <v>6</v>
      </c>
      <c r="H39" s="115" t="s">
        <v>1008</v>
      </c>
      <c r="I39" s="115" t="s">
        <v>1</v>
      </c>
      <c r="J39" s="115"/>
      <c r="K39" s="115"/>
      <c r="L39" s="115"/>
      <c r="M39" s="115"/>
      <c r="N39" s="115" t="s">
        <v>87</v>
      </c>
      <c r="O39" s="115" t="s">
        <v>870</v>
      </c>
      <c r="P39" s="115" t="s">
        <v>4</v>
      </c>
      <c r="Q39" s="115"/>
      <c r="R39" s="115">
        <v>6</v>
      </c>
      <c r="S39" s="116" t="str">
        <f t="shared" ref="S39:S70" si="7">TEXT(IF(W39="DISCO", M39, Q39),"")</f>
        <v/>
      </c>
      <c r="T39" s="117" t="s">
        <v>1041</v>
      </c>
      <c r="U39" s="115" t="s">
        <v>398</v>
      </c>
      <c r="V39" s="115" t="s">
        <v>8</v>
      </c>
      <c r="W39" s="115" t="s">
        <v>861</v>
      </c>
      <c r="X39" s="115" t="s">
        <v>1010</v>
      </c>
      <c r="Y39" s="118">
        <v>2</v>
      </c>
      <c r="Z39" s="118" t="b">
        <f t="shared" ref="Z39:Z70" si="8">Y39&gt;0</f>
        <v>1</v>
      </c>
      <c r="AA39" s="116" t="b">
        <f t="shared" ref="AA39:AA70" si="9">NOT(EXACT(I39,CTR_C))</f>
        <v>1</v>
      </c>
      <c r="AB39" s="116" t="b">
        <f t="shared" ref="AB39:AB70" si="10">NOT(EXACT(O39,D39))</f>
        <v>0</v>
      </c>
      <c r="AC39" s="116" t="b">
        <f t="shared" ref="AC39:AC70" si="11">NOT(EXACT(P39,E39))</f>
        <v>0</v>
      </c>
      <c r="AD39" s="116" t="b">
        <f t="shared" ref="AD39:AD70" si="12">NOT(EXACT(S39,F39))</f>
        <v>0</v>
      </c>
      <c r="AE39" s="116" t="b">
        <f t="shared" ref="AE39:AE70" si="13">NOT(EXACT(R39,G39))</f>
        <v>0</v>
      </c>
      <c r="AF39" s="116" t="s">
        <v>862</v>
      </c>
      <c r="AG39" s="116" t="s">
        <v>863</v>
      </c>
      <c r="AH39" s="116">
        <v>0.01</v>
      </c>
      <c r="AI39" s="116">
        <v>0.01</v>
      </c>
      <c r="AJ39" s="116"/>
      <c r="AK39" s="116"/>
      <c r="AL39" s="82"/>
      <c r="AM39" s="82"/>
      <c r="AN39" s="82"/>
      <c r="AO39" s="82"/>
      <c r="AP39" s="82"/>
    </row>
    <row r="40" spans="3:42" x14ac:dyDescent="0.25">
      <c r="C40" s="102" t="s">
        <v>910</v>
      </c>
      <c r="D40" s="102" t="s">
        <v>870</v>
      </c>
      <c r="E40" s="102" t="s">
        <v>4</v>
      </c>
      <c r="F40" s="102" t="s">
        <v>859</v>
      </c>
      <c r="G40" s="97">
        <v>6</v>
      </c>
      <c r="H40" s="115" t="s">
        <v>1008</v>
      </c>
      <c r="I40" s="115" t="s">
        <v>75</v>
      </c>
      <c r="J40" s="115"/>
      <c r="K40" s="115"/>
      <c r="L40" s="115"/>
      <c r="M40" s="115"/>
      <c r="N40" s="115" t="s">
        <v>155</v>
      </c>
      <c r="O40" s="115" t="s">
        <v>870</v>
      </c>
      <c r="P40" s="115" t="s">
        <v>4</v>
      </c>
      <c r="Q40" s="115"/>
      <c r="R40" s="115">
        <v>6</v>
      </c>
      <c r="S40" s="116" t="str">
        <f t="shared" si="7"/>
        <v/>
      </c>
      <c r="T40" s="117" t="s">
        <v>1042</v>
      </c>
      <c r="U40" s="115" t="s">
        <v>331</v>
      </c>
      <c r="V40" s="115" t="s">
        <v>330</v>
      </c>
      <c r="W40" s="115" t="s">
        <v>861</v>
      </c>
      <c r="X40" s="115" t="s">
        <v>1010</v>
      </c>
      <c r="Y40" s="118">
        <v>2</v>
      </c>
      <c r="Z40" s="118" t="b">
        <f t="shared" si="8"/>
        <v>1</v>
      </c>
      <c r="AA40" s="116" t="b">
        <f t="shared" si="9"/>
        <v>0</v>
      </c>
      <c r="AB40" s="116" t="b">
        <f t="shared" si="10"/>
        <v>0</v>
      </c>
      <c r="AC40" s="116" t="b">
        <f t="shared" si="11"/>
        <v>0</v>
      </c>
      <c r="AD40" s="116" t="b">
        <f t="shared" si="12"/>
        <v>0</v>
      </c>
      <c r="AE40" s="116" t="b">
        <f t="shared" si="13"/>
        <v>0</v>
      </c>
      <c r="AF40" s="116" t="s">
        <v>864</v>
      </c>
      <c r="AG40" s="116" t="s">
        <v>865</v>
      </c>
      <c r="AH40" s="116">
        <v>0</v>
      </c>
      <c r="AI40" s="116">
        <v>0</v>
      </c>
      <c r="AJ40" s="116" t="s">
        <v>1127</v>
      </c>
      <c r="AK40" s="116"/>
      <c r="AL40" s="82"/>
      <c r="AM40" s="82"/>
      <c r="AN40" s="82"/>
      <c r="AO40" s="82"/>
      <c r="AP40" s="82"/>
    </row>
    <row r="41" spans="3:42" x14ac:dyDescent="0.25">
      <c r="C41" s="102" t="s">
        <v>911</v>
      </c>
      <c r="D41" s="102" t="s">
        <v>871</v>
      </c>
      <c r="E41" s="102" t="s">
        <v>4</v>
      </c>
      <c r="F41" s="102" t="s">
        <v>859</v>
      </c>
      <c r="G41" s="97">
        <v>6</v>
      </c>
      <c r="H41" s="115" t="s">
        <v>1008</v>
      </c>
      <c r="I41" s="115" t="s">
        <v>753</v>
      </c>
      <c r="J41" s="115"/>
      <c r="K41" s="115"/>
      <c r="L41" s="115"/>
      <c r="M41" s="115"/>
      <c r="N41" s="115" t="s">
        <v>537</v>
      </c>
      <c r="O41" s="115" t="s">
        <v>871</v>
      </c>
      <c r="P41" s="115" t="s">
        <v>3</v>
      </c>
      <c r="Q41" s="115"/>
      <c r="R41" s="115">
        <v>6</v>
      </c>
      <c r="S41" s="116" t="str">
        <f t="shared" si="7"/>
        <v/>
      </c>
      <c r="T41" s="117" t="s">
        <v>1043</v>
      </c>
      <c r="U41" s="115" t="s">
        <v>369</v>
      </c>
      <c r="V41" s="115" t="s">
        <v>370</v>
      </c>
      <c r="W41" s="115" t="s">
        <v>861</v>
      </c>
      <c r="X41" s="115" t="s">
        <v>1010</v>
      </c>
      <c r="Y41" s="118">
        <v>2</v>
      </c>
      <c r="Z41" s="118" t="b">
        <f t="shared" si="8"/>
        <v>1</v>
      </c>
      <c r="AA41" s="116" t="b">
        <f t="shared" si="9"/>
        <v>1</v>
      </c>
      <c r="AB41" s="116" t="b">
        <f t="shared" si="10"/>
        <v>0</v>
      </c>
      <c r="AC41" s="116" t="b">
        <f t="shared" si="11"/>
        <v>1</v>
      </c>
      <c r="AD41" s="116" t="b">
        <f t="shared" si="12"/>
        <v>0</v>
      </c>
      <c r="AE41" s="116" t="b">
        <f t="shared" si="13"/>
        <v>0</v>
      </c>
      <c r="AF41" s="116" t="s">
        <v>862</v>
      </c>
      <c r="AG41" s="116" t="s">
        <v>863</v>
      </c>
      <c r="AH41" s="116">
        <v>0.01</v>
      </c>
      <c r="AI41" s="116">
        <v>0.01</v>
      </c>
      <c r="AJ41" s="116"/>
      <c r="AK41" s="116"/>
      <c r="AL41" s="82"/>
      <c r="AM41" s="82"/>
      <c r="AN41" s="82"/>
      <c r="AO41" s="82"/>
      <c r="AP41" s="82"/>
    </row>
    <row r="42" spans="3:42" x14ac:dyDescent="0.25">
      <c r="C42" s="102" t="s">
        <v>912</v>
      </c>
      <c r="D42" s="102" t="s">
        <v>871</v>
      </c>
      <c r="E42" s="102" t="s">
        <v>4</v>
      </c>
      <c r="F42" s="102" t="s">
        <v>859</v>
      </c>
      <c r="G42" s="97">
        <v>12</v>
      </c>
      <c r="H42" s="115" t="s">
        <v>1008</v>
      </c>
      <c r="I42" s="115" t="s">
        <v>75</v>
      </c>
      <c r="J42" s="115"/>
      <c r="K42" s="115"/>
      <c r="L42" s="115"/>
      <c r="M42" s="115"/>
      <c r="N42" s="115" t="s">
        <v>150</v>
      </c>
      <c r="O42" s="115" t="s">
        <v>871</v>
      </c>
      <c r="P42" s="115" t="s">
        <v>4</v>
      </c>
      <c r="Q42" s="115"/>
      <c r="R42" s="115">
        <v>12</v>
      </c>
      <c r="S42" s="116" t="str">
        <f t="shared" si="7"/>
        <v/>
      </c>
      <c r="T42" s="117" t="s">
        <v>1044</v>
      </c>
      <c r="U42" s="115" t="s">
        <v>9</v>
      </c>
      <c r="V42" s="115" t="s">
        <v>378</v>
      </c>
      <c r="W42" s="115" t="s">
        <v>861</v>
      </c>
      <c r="X42" s="115" t="s">
        <v>1010</v>
      </c>
      <c r="Y42" s="118">
        <v>2</v>
      </c>
      <c r="Z42" s="118" t="b">
        <f t="shared" si="8"/>
        <v>1</v>
      </c>
      <c r="AA42" s="116" t="b">
        <f t="shared" si="9"/>
        <v>0</v>
      </c>
      <c r="AB42" s="116" t="b">
        <f t="shared" si="10"/>
        <v>0</v>
      </c>
      <c r="AC42" s="116" t="b">
        <f t="shared" si="11"/>
        <v>0</v>
      </c>
      <c r="AD42" s="116" t="b">
        <f t="shared" si="12"/>
        <v>0</v>
      </c>
      <c r="AE42" s="116" t="b">
        <f t="shared" si="13"/>
        <v>0</v>
      </c>
      <c r="AF42" s="116" t="s">
        <v>864</v>
      </c>
      <c r="AG42" s="116" t="s">
        <v>865</v>
      </c>
      <c r="AH42" s="116">
        <v>0</v>
      </c>
      <c r="AI42" s="116">
        <v>0</v>
      </c>
      <c r="AJ42" s="116" t="s">
        <v>1127</v>
      </c>
      <c r="AK42" s="116"/>
      <c r="AL42" s="82"/>
      <c r="AM42" s="82"/>
      <c r="AN42" s="82"/>
      <c r="AO42" s="82"/>
      <c r="AP42" s="82"/>
    </row>
    <row r="43" spans="3:42" x14ac:dyDescent="0.25">
      <c r="C43" s="102" t="s">
        <v>913</v>
      </c>
      <c r="D43" s="102" t="s">
        <v>871</v>
      </c>
      <c r="E43" s="102" t="s">
        <v>3</v>
      </c>
      <c r="F43" s="102" t="s">
        <v>859</v>
      </c>
      <c r="G43" s="97">
        <v>12</v>
      </c>
      <c r="H43" s="115" t="s">
        <v>1008</v>
      </c>
      <c r="I43" s="115" t="s">
        <v>47</v>
      </c>
      <c r="J43" s="115"/>
      <c r="K43" s="115"/>
      <c r="L43" s="115"/>
      <c r="M43" s="115"/>
      <c r="N43" s="115" t="s">
        <v>203</v>
      </c>
      <c r="O43" s="115" t="s">
        <v>871</v>
      </c>
      <c r="P43" s="115" t="s">
        <v>3</v>
      </c>
      <c r="Q43" s="115"/>
      <c r="R43" s="115">
        <v>12</v>
      </c>
      <c r="S43" s="116" t="str">
        <f t="shared" si="7"/>
        <v/>
      </c>
      <c r="T43" s="117" t="s">
        <v>1045</v>
      </c>
      <c r="U43" s="115" t="s">
        <v>416</v>
      </c>
      <c r="V43" s="115" t="s">
        <v>412</v>
      </c>
      <c r="W43" s="115" t="s">
        <v>861</v>
      </c>
      <c r="X43" s="115" t="s">
        <v>1010</v>
      </c>
      <c r="Y43" s="118">
        <v>2</v>
      </c>
      <c r="Z43" s="118" t="b">
        <f t="shared" si="8"/>
        <v>1</v>
      </c>
      <c r="AA43" s="116" t="b">
        <f t="shared" si="9"/>
        <v>1</v>
      </c>
      <c r="AB43" s="116" t="b">
        <f t="shared" si="10"/>
        <v>0</v>
      </c>
      <c r="AC43" s="116" t="b">
        <f t="shared" si="11"/>
        <v>0</v>
      </c>
      <c r="AD43" s="116" t="b">
        <f t="shared" si="12"/>
        <v>0</v>
      </c>
      <c r="AE43" s="116" t="b">
        <f t="shared" si="13"/>
        <v>0</v>
      </c>
      <c r="AF43" s="116" t="s">
        <v>862</v>
      </c>
      <c r="AG43" s="116" t="s">
        <v>863</v>
      </c>
      <c r="AH43" s="116">
        <v>0.01</v>
      </c>
      <c r="AI43" s="116">
        <v>0.01</v>
      </c>
      <c r="AJ43" s="116"/>
      <c r="AK43" s="116"/>
      <c r="AL43" s="82"/>
      <c r="AM43" s="82"/>
      <c r="AN43" s="82"/>
      <c r="AO43" s="82"/>
      <c r="AP43" s="82"/>
    </row>
    <row r="44" spans="3:42" x14ac:dyDescent="0.25">
      <c r="C44" s="102" t="s">
        <v>914</v>
      </c>
      <c r="D44" s="102" t="s">
        <v>871</v>
      </c>
      <c r="E44" s="102" t="s">
        <v>3</v>
      </c>
      <c r="F44" s="102" t="s">
        <v>859</v>
      </c>
      <c r="G44" s="97">
        <v>6</v>
      </c>
      <c r="H44" s="115" t="s">
        <v>1008</v>
      </c>
      <c r="I44" s="115" t="s">
        <v>236</v>
      </c>
      <c r="J44" s="115"/>
      <c r="K44" s="115"/>
      <c r="L44" s="115"/>
      <c r="M44" s="115"/>
      <c r="N44" s="115" t="s">
        <v>89</v>
      </c>
      <c r="O44" s="115" t="s">
        <v>871</v>
      </c>
      <c r="P44" s="115" t="s">
        <v>3</v>
      </c>
      <c r="Q44" s="115"/>
      <c r="R44" s="115">
        <v>6</v>
      </c>
      <c r="S44" s="116" t="str">
        <f t="shared" si="7"/>
        <v/>
      </c>
      <c r="T44" s="117" t="s">
        <v>1046</v>
      </c>
      <c r="U44" s="115" t="s">
        <v>351</v>
      </c>
      <c r="V44" s="115" t="s">
        <v>12</v>
      </c>
      <c r="W44" s="115" t="s">
        <v>861</v>
      </c>
      <c r="X44" s="115" t="s">
        <v>1010</v>
      </c>
      <c r="Y44" s="118">
        <v>2</v>
      </c>
      <c r="Z44" s="118" t="b">
        <f t="shared" si="8"/>
        <v>1</v>
      </c>
      <c r="AA44" s="116" t="b">
        <f t="shared" si="9"/>
        <v>1</v>
      </c>
      <c r="AB44" s="116" t="b">
        <f t="shared" si="10"/>
        <v>0</v>
      </c>
      <c r="AC44" s="116" t="b">
        <f t="shared" si="11"/>
        <v>0</v>
      </c>
      <c r="AD44" s="116" t="b">
        <f t="shared" si="12"/>
        <v>0</v>
      </c>
      <c r="AE44" s="116" t="b">
        <f t="shared" si="13"/>
        <v>0</v>
      </c>
      <c r="AF44" s="116" t="s">
        <v>862</v>
      </c>
      <c r="AG44" s="116" t="s">
        <v>863</v>
      </c>
      <c r="AH44" s="116">
        <v>0.01</v>
      </c>
      <c r="AI44" s="116">
        <v>0.01</v>
      </c>
      <c r="AJ44" s="116"/>
      <c r="AK44" s="116"/>
      <c r="AL44" s="82"/>
      <c r="AM44" s="82"/>
      <c r="AN44" s="82"/>
      <c r="AO44" s="82"/>
      <c r="AP44" s="82"/>
    </row>
    <row r="45" spans="3:42" x14ac:dyDescent="0.25">
      <c r="C45" s="102" t="s">
        <v>915</v>
      </c>
      <c r="D45" s="102" t="s">
        <v>870</v>
      </c>
      <c r="E45" s="102" t="s">
        <v>4</v>
      </c>
      <c r="F45" s="102" t="s">
        <v>859</v>
      </c>
      <c r="G45" s="97">
        <v>6</v>
      </c>
      <c r="H45" s="115" t="s">
        <v>1008</v>
      </c>
      <c r="I45" s="115" t="s">
        <v>47</v>
      </c>
      <c r="J45" s="115"/>
      <c r="K45" s="115"/>
      <c r="L45" s="115"/>
      <c r="M45" s="115"/>
      <c r="N45" s="115" t="s">
        <v>170</v>
      </c>
      <c r="O45" s="115" t="s">
        <v>870</v>
      </c>
      <c r="P45" s="115" t="s">
        <v>4</v>
      </c>
      <c r="Q45" s="115"/>
      <c r="R45" s="115">
        <v>6</v>
      </c>
      <c r="S45" s="116" t="str">
        <f t="shared" si="7"/>
        <v/>
      </c>
      <c r="T45" s="117" t="s">
        <v>1047</v>
      </c>
      <c r="U45" s="115" t="s">
        <v>351</v>
      </c>
      <c r="V45" s="115" t="s">
        <v>12</v>
      </c>
      <c r="W45" s="115" t="s">
        <v>861</v>
      </c>
      <c r="X45" s="115" t="s">
        <v>1010</v>
      </c>
      <c r="Y45" s="118">
        <v>2</v>
      </c>
      <c r="Z45" s="118" t="b">
        <f t="shared" si="8"/>
        <v>1</v>
      </c>
      <c r="AA45" s="116" t="b">
        <f t="shared" si="9"/>
        <v>1</v>
      </c>
      <c r="AB45" s="116" t="b">
        <f t="shared" si="10"/>
        <v>0</v>
      </c>
      <c r="AC45" s="116" t="b">
        <f t="shared" si="11"/>
        <v>0</v>
      </c>
      <c r="AD45" s="116" t="b">
        <f t="shared" si="12"/>
        <v>0</v>
      </c>
      <c r="AE45" s="116" t="b">
        <f t="shared" si="13"/>
        <v>0</v>
      </c>
      <c r="AF45" s="116" t="s">
        <v>862</v>
      </c>
      <c r="AG45" s="116" t="s">
        <v>863</v>
      </c>
      <c r="AH45" s="116">
        <v>0.01</v>
      </c>
      <c r="AI45" s="116">
        <v>0.01</v>
      </c>
      <c r="AJ45" s="116"/>
      <c r="AK45" s="116"/>
      <c r="AL45" s="82"/>
      <c r="AM45" s="82"/>
      <c r="AN45" s="82"/>
      <c r="AO45" s="82"/>
      <c r="AP45" s="82"/>
    </row>
    <row r="46" spans="3:42" x14ac:dyDescent="0.25">
      <c r="C46" s="102" t="s">
        <v>916</v>
      </c>
      <c r="D46" s="102" t="s">
        <v>871</v>
      </c>
      <c r="E46" s="102" t="s">
        <v>3</v>
      </c>
      <c r="F46" s="102" t="s">
        <v>859</v>
      </c>
      <c r="G46" s="97">
        <v>6</v>
      </c>
      <c r="H46" s="115" t="s">
        <v>1008</v>
      </c>
      <c r="I46" s="115" t="s">
        <v>1</v>
      </c>
      <c r="J46" s="115"/>
      <c r="K46" s="115"/>
      <c r="L46" s="115"/>
      <c r="M46" s="115"/>
      <c r="N46" s="115" t="s">
        <v>90</v>
      </c>
      <c r="O46" s="115" t="s">
        <v>871</v>
      </c>
      <c r="P46" s="115" t="s">
        <v>3</v>
      </c>
      <c r="Q46" s="115"/>
      <c r="R46" s="115">
        <v>6</v>
      </c>
      <c r="S46" s="116" t="str">
        <f t="shared" si="7"/>
        <v/>
      </c>
      <c r="T46" s="117" t="s">
        <v>1048</v>
      </c>
      <c r="U46" s="115" t="s">
        <v>408</v>
      </c>
      <c r="V46" s="115" t="s">
        <v>408</v>
      </c>
      <c r="W46" s="115" t="s">
        <v>861</v>
      </c>
      <c r="X46" s="115" t="s">
        <v>1010</v>
      </c>
      <c r="Y46" s="118">
        <v>2</v>
      </c>
      <c r="Z46" s="118" t="b">
        <f t="shared" si="8"/>
        <v>1</v>
      </c>
      <c r="AA46" s="116" t="b">
        <f t="shared" si="9"/>
        <v>1</v>
      </c>
      <c r="AB46" s="116" t="b">
        <f t="shared" si="10"/>
        <v>0</v>
      </c>
      <c r="AC46" s="116" t="b">
        <f t="shared" si="11"/>
        <v>0</v>
      </c>
      <c r="AD46" s="116" t="b">
        <f t="shared" si="12"/>
        <v>0</v>
      </c>
      <c r="AE46" s="116" t="b">
        <f t="shared" si="13"/>
        <v>0</v>
      </c>
      <c r="AF46" s="116" t="s">
        <v>862</v>
      </c>
      <c r="AG46" s="116" t="s">
        <v>863</v>
      </c>
      <c r="AH46" s="116">
        <v>0.01</v>
      </c>
      <c r="AI46" s="116">
        <v>0.01</v>
      </c>
      <c r="AJ46" s="116"/>
      <c r="AK46" s="116"/>
      <c r="AL46" s="82"/>
      <c r="AM46" s="82"/>
      <c r="AN46" s="82"/>
      <c r="AO46" s="82"/>
      <c r="AP46" s="82"/>
    </row>
    <row r="47" spans="3:42" x14ac:dyDescent="0.25">
      <c r="C47" s="102" t="s">
        <v>917</v>
      </c>
      <c r="D47" s="102" t="s">
        <v>870</v>
      </c>
      <c r="E47" s="102" t="s">
        <v>4</v>
      </c>
      <c r="F47" s="102" t="s">
        <v>859</v>
      </c>
      <c r="G47" s="97">
        <v>6</v>
      </c>
      <c r="H47" s="115" t="s">
        <v>1008</v>
      </c>
      <c r="I47" s="115" t="s">
        <v>0</v>
      </c>
      <c r="J47" s="115"/>
      <c r="K47" s="115"/>
      <c r="L47" s="115"/>
      <c r="M47" s="115"/>
      <c r="N47" s="115" t="s">
        <v>85</v>
      </c>
      <c r="O47" s="115" t="s">
        <v>870</v>
      </c>
      <c r="P47" s="115" t="s">
        <v>4</v>
      </c>
      <c r="Q47" s="115"/>
      <c r="R47" s="115">
        <v>6</v>
      </c>
      <c r="S47" s="116" t="str">
        <f t="shared" si="7"/>
        <v/>
      </c>
      <c r="T47" s="117" t="s">
        <v>1014</v>
      </c>
      <c r="U47" s="115" t="s">
        <v>350</v>
      </c>
      <c r="V47" s="115" t="s">
        <v>12</v>
      </c>
      <c r="W47" s="115" t="s">
        <v>861</v>
      </c>
      <c r="X47" s="115" t="s">
        <v>1010</v>
      </c>
      <c r="Y47" s="118">
        <v>2</v>
      </c>
      <c r="Z47" s="118" t="b">
        <f t="shared" si="8"/>
        <v>1</v>
      </c>
      <c r="AA47" s="116" t="b">
        <f t="shared" si="9"/>
        <v>1</v>
      </c>
      <c r="AB47" s="116" t="b">
        <f t="shared" si="10"/>
        <v>0</v>
      </c>
      <c r="AC47" s="116" t="b">
        <f t="shared" si="11"/>
        <v>0</v>
      </c>
      <c r="AD47" s="116" t="b">
        <f t="shared" si="12"/>
        <v>0</v>
      </c>
      <c r="AE47" s="116" t="b">
        <f t="shared" si="13"/>
        <v>0</v>
      </c>
      <c r="AF47" s="116" t="s">
        <v>862</v>
      </c>
      <c r="AG47" s="116" t="s">
        <v>863</v>
      </c>
      <c r="AH47" s="116">
        <v>0.01</v>
      </c>
      <c r="AI47" s="116">
        <v>0.01</v>
      </c>
      <c r="AJ47" s="116"/>
      <c r="AK47" s="116"/>
      <c r="AL47" s="82"/>
      <c r="AM47" s="82"/>
      <c r="AN47" s="82"/>
      <c r="AO47" s="82"/>
      <c r="AP47" s="82"/>
    </row>
    <row r="48" spans="3:42" x14ac:dyDescent="0.25">
      <c r="C48" s="102" t="s">
        <v>918</v>
      </c>
      <c r="D48" s="102" t="s">
        <v>871</v>
      </c>
      <c r="E48" s="102" t="s">
        <v>3</v>
      </c>
      <c r="F48" s="102" t="s">
        <v>859</v>
      </c>
      <c r="G48" s="97">
        <v>9</v>
      </c>
      <c r="H48" s="115" t="s">
        <v>1008</v>
      </c>
      <c r="I48" s="115" t="s">
        <v>236</v>
      </c>
      <c r="J48" s="115"/>
      <c r="K48" s="115"/>
      <c r="L48" s="115"/>
      <c r="M48" s="115"/>
      <c r="N48" s="115" t="s">
        <v>89</v>
      </c>
      <c r="O48" s="115" t="s">
        <v>871</v>
      </c>
      <c r="P48" s="115" t="s">
        <v>3</v>
      </c>
      <c r="Q48" s="115"/>
      <c r="R48" s="115">
        <v>9</v>
      </c>
      <c r="S48" s="116" t="str">
        <f t="shared" si="7"/>
        <v/>
      </c>
      <c r="T48" s="117" t="s">
        <v>1049</v>
      </c>
      <c r="U48" s="115" t="s">
        <v>352</v>
      </c>
      <c r="V48" s="115" t="s">
        <v>12</v>
      </c>
      <c r="W48" s="115" t="s">
        <v>861</v>
      </c>
      <c r="X48" s="115" t="s">
        <v>1010</v>
      </c>
      <c r="Y48" s="118">
        <v>2</v>
      </c>
      <c r="Z48" s="118" t="b">
        <f t="shared" si="8"/>
        <v>1</v>
      </c>
      <c r="AA48" s="116" t="b">
        <f t="shared" si="9"/>
        <v>1</v>
      </c>
      <c r="AB48" s="116" t="b">
        <f t="shared" si="10"/>
        <v>0</v>
      </c>
      <c r="AC48" s="116" t="b">
        <f t="shared" si="11"/>
        <v>0</v>
      </c>
      <c r="AD48" s="116" t="b">
        <f t="shared" si="12"/>
        <v>0</v>
      </c>
      <c r="AE48" s="116" t="b">
        <f t="shared" si="13"/>
        <v>0</v>
      </c>
      <c r="AF48" s="116" t="s">
        <v>862</v>
      </c>
      <c r="AG48" s="116" t="s">
        <v>863</v>
      </c>
      <c r="AH48" s="116">
        <v>0.01</v>
      </c>
      <c r="AI48" s="116">
        <v>0.01</v>
      </c>
      <c r="AJ48" s="116"/>
      <c r="AK48" s="116"/>
      <c r="AL48" s="82"/>
      <c r="AM48" s="82"/>
      <c r="AN48" s="82"/>
      <c r="AO48" s="82"/>
      <c r="AP48" s="82"/>
    </row>
    <row r="49" spans="3:42" x14ac:dyDescent="0.25">
      <c r="C49" s="102" t="s">
        <v>919</v>
      </c>
      <c r="D49" s="102" t="s">
        <v>871</v>
      </c>
      <c r="E49" s="102" t="s">
        <v>3</v>
      </c>
      <c r="F49" s="102" t="s">
        <v>859</v>
      </c>
      <c r="G49" s="97">
        <v>9</v>
      </c>
      <c r="H49" s="115" t="s">
        <v>1008</v>
      </c>
      <c r="I49" s="115" t="s">
        <v>236</v>
      </c>
      <c r="J49" s="115"/>
      <c r="K49" s="115"/>
      <c r="L49" s="115"/>
      <c r="M49" s="115"/>
      <c r="N49" s="115" t="s">
        <v>89</v>
      </c>
      <c r="O49" s="115" t="s">
        <v>871</v>
      </c>
      <c r="P49" s="115" t="s">
        <v>3</v>
      </c>
      <c r="Q49" s="115"/>
      <c r="R49" s="115">
        <v>9</v>
      </c>
      <c r="S49" s="116" t="str">
        <f t="shared" si="7"/>
        <v/>
      </c>
      <c r="T49" s="117" t="s">
        <v>1050</v>
      </c>
      <c r="U49" s="115" t="s">
        <v>422</v>
      </c>
      <c r="V49" s="115" t="s">
        <v>421</v>
      </c>
      <c r="W49" s="115" t="s">
        <v>861</v>
      </c>
      <c r="X49" s="115" t="s">
        <v>1010</v>
      </c>
      <c r="Y49" s="118">
        <v>2</v>
      </c>
      <c r="Z49" s="118" t="b">
        <f t="shared" si="8"/>
        <v>1</v>
      </c>
      <c r="AA49" s="116" t="b">
        <f t="shared" si="9"/>
        <v>1</v>
      </c>
      <c r="AB49" s="116" t="b">
        <f t="shared" si="10"/>
        <v>0</v>
      </c>
      <c r="AC49" s="116" t="b">
        <f t="shared" si="11"/>
        <v>0</v>
      </c>
      <c r="AD49" s="116" t="b">
        <f t="shared" si="12"/>
        <v>0</v>
      </c>
      <c r="AE49" s="116" t="b">
        <f t="shared" si="13"/>
        <v>0</v>
      </c>
      <c r="AF49" s="116" t="s">
        <v>862</v>
      </c>
      <c r="AG49" s="116" t="s">
        <v>863</v>
      </c>
      <c r="AH49" s="116">
        <v>0.01</v>
      </c>
      <c r="AI49" s="116">
        <v>0.01</v>
      </c>
      <c r="AJ49" s="116"/>
      <c r="AK49" s="116"/>
      <c r="AL49" s="82"/>
      <c r="AM49" s="82"/>
      <c r="AN49" s="82"/>
      <c r="AO49" s="82"/>
      <c r="AP49" s="82"/>
    </row>
    <row r="50" spans="3:42" x14ac:dyDescent="0.25">
      <c r="C50" s="102" t="s">
        <v>920</v>
      </c>
      <c r="D50" s="102" t="s">
        <v>870</v>
      </c>
      <c r="E50" s="102" t="s">
        <v>4</v>
      </c>
      <c r="F50" s="102" t="s">
        <v>859</v>
      </c>
      <c r="G50" s="97">
        <v>6</v>
      </c>
      <c r="H50" s="115" t="s">
        <v>1008</v>
      </c>
      <c r="I50" s="115" t="s">
        <v>75</v>
      </c>
      <c r="J50" s="115"/>
      <c r="K50" s="115"/>
      <c r="L50" s="115"/>
      <c r="M50" s="115"/>
      <c r="N50" s="115" t="s">
        <v>155</v>
      </c>
      <c r="O50" s="115" t="s">
        <v>870</v>
      </c>
      <c r="P50" s="115" t="s">
        <v>4</v>
      </c>
      <c r="Q50" s="115"/>
      <c r="R50" s="115">
        <v>6</v>
      </c>
      <c r="S50" s="116" t="str">
        <f t="shared" si="7"/>
        <v/>
      </c>
      <c r="T50" s="117" t="s">
        <v>1051</v>
      </c>
      <c r="U50" s="115" t="s">
        <v>341</v>
      </c>
      <c r="V50" s="115" t="s">
        <v>13</v>
      </c>
      <c r="W50" s="115" t="s">
        <v>861</v>
      </c>
      <c r="X50" s="115" t="s">
        <v>1010</v>
      </c>
      <c r="Y50" s="118">
        <v>2</v>
      </c>
      <c r="Z50" s="118" t="b">
        <f t="shared" si="8"/>
        <v>1</v>
      </c>
      <c r="AA50" s="116" t="b">
        <f t="shared" si="9"/>
        <v>0</v>
      </c>
      <c r="AB50" s="116" t="b">
        <f t="shared" si="10"/>
        <v>0</v>
      </c>
      <c r="AC50" s="116" t="b">
        <f t="shared" si="11"/>
        <v>0</v>
      </c>
      <c r="AD50" s="116" t="b">
        <f t="shared" si="12"/>
        <v>0</v>
      </c>
      <c r="AE50" s="116" t="b">
        <f t="shared" si="13"/>
        <v>0</v>
      </c>
      <c r="AF50" s="116" t="s">
        <v>864</v>
      </c>
      <c r="AG50" s="116" t="s">
        <v>865</v>
      </c>
      <c r="AH50" s="116">
        <v>0</v>
      </c>
      <c r="AI50" s="116">
        <v>0</v>
      </c>
      <c r="AJ50" s="116" t="s">
        <v>1127</v>
      </c>
      <c r="AK50" s="116"/>
      <c r="AL50" s="82"/>
      <c r="AM50" s="82"/>
      <c r="AN50" s="82"/>
      <c r="AO50" s="82"/>
      <c r="AP50" s="82"/>
    </row>
    <row r="51" spans="3:42" x14ac:dyDescent="0.25">
      <c r="C51" s="102" t="s">
        <v>921</v>
      </c>
      <c r="D51" s="102" t="s">
        <v>871</v>
      </c>
      <c r="E51" s="102" t="s">
        <v>4</v>
      </c>
      <c r="F51" s="102" t="s">
        <v>859</v>
      </c>
      <c r="G51" s="97">
        <v>9</v>
      </c>
      <c r="H51" s="115" t="s">
        <v>1008</v>
      </c>
      <c r="I51" s="115" t="s">
        <v>75</v>
      </c>
      <c r="J51" s="115"/>
      <c r="K51" s="115"/>
      <c r="L51" s="115"/>
      <c r="M51" s="115"/>
      <c r="N51" s="115" t="s">
        <v>150</v>
      </c>
      <c r="O51" s="115" t="s">
        <v>871</v>
      </c>
      <c r="P51" s="115" t="s">
        <v>3</v>
      </c>
      <c r="Q51" s="115"/>
      <c r="R51" s="115">
        <v>9</v>
      </c>
      <c r="S51" s="116" t="str">
        <f t="shared" si="7"/>
        <v/>
      </c>
      <c r="T51" s="117" t="s">
        <v>1052</v>
      </c>
      <c r="U51" s="115" t="s">
        <v>341</v>
      </c>
      <c r="V51" s="115" t="s">
        <v>13</v>
      </c>
      <c r="W51" s="115" t="s">
        <v>861</v>
      </c>
      <c r="X51" s="115" t="s">
        <v>1010</v>
      </c>
      <c r="Y51" s="118">
        <v>2</v>
      </c>
      <c r="Z51" s="118" t="b">
        <f t="shared" si="8"/>
        <v>1</v>
      </c>
      <c r="AA51" s="116" t="b">
        <f t="shared" si="9"/>
        <v>0</v>
      </c>
      <c r="AB51" s="116" t="b">
        <f t="shared" si="10"/>
        <v>0</v>
      </c>
      <c r="AC51" s="116" t="b">
        <f t="shared" si="11"/>
        <v>1</v>
      </c>
      <c r="AD51" s="116" t="b">
        <f t="shared" si="12"/>
        <v>0</v>
      </c>
      <c r="AE51" s="116" t="b">
        <f t="shared" si="13"/>
        <v>0</v>
      </c>
      <c r="AF51" s="116" t="s">
        <v>864</v>
      </c>
      <c r="AG51" s="116" t="s">
        <v>865</v>
      </c>
      <c r="AH51" s="116">
        <v>0</v>
      </c>
      <c r="AI51" s="116">
        <v>0</v>
      </c>
      <c r="AJ51" s="116" t="s">
        <v>1127</v>
      </c>
      <c r="AK51" s="116"/>
      <c r="AL51" s="82"/>
      <c r="AM51" s="82"/>
      <c r="AN51" s="82"/>
      <c r="AO51" s="82"/>
      <c r="AP51" s="82"/>
    </row>
    <row r="52" spans="3:42" x14ac:dyDescent="0.25">
      <c r="C52" s="102" t="s">
        <v>922</v>
      </c>
      <c r="D52" s="102" t="s">
        <v>870</v>
      </c>
      <c r="E52" s="102" t="s">
        <v>4</v>
      </c>
      <c r="F52" s="102" t="s">
        <v>859</v>
      </c>
      <c r="G52" s="97">
        <v>18</v>
      </c>
      <c r="H52" s="115" t="s">
        <v>1008</v>
      </c>
      <c r="I52" s="115" t="s">
        <v>75</v>
      </c>
      <c r="J52" s="115"/>
      <c r="K52" s="115"/>
      <c r="L52" s="115"/>
      <c r="M52" s="115"/>
      <c r="N52" s="115" t="s">
        <v>155</v>
      </c>
      <c r="O52" s="115" t="s">
        <v>870</v>
      </c>
      <c r="P52" s="115" t="s">
        <v>4</v>
      </c>
      <c r="Q52" s="115"/>
      <c r="R52" s="115">
        <v>18</v>
      </c>
      <c r="S52" s="116" t="str">
        <f t="shared" si="7"/>
        <v/>
      </c>
      <c r="T52" s="117" t="s">
        <v>1053</v>
      </c>
      <c r="U52" s="115" t="s">
        <v>439</v>
      </c>
      <c r="V52" s="115" t="s">
        <v>433</v>
      </c>
      <c r="W52" s="115" t="s">
        <v>861</v>
      </c>
      <c r="X52" s="115" t="s">
        <v>1010</v>
      </c>
      <c r="Y52" s="118">
        <v>2</v>
      </c>
      <c r="Z52" s="118" t="b">
        <f t="shared" si="8"/>
        <v>1</v>
      </c>
      <c r="AA52" s="116" t="b">
        <f t="shared" si="9"/>
        <v>0</v>
      </c>
      <c r="AB52" s="116" t="b">
        <f t="shared" si="10"/>
        <v>0</v>
      </c>
      <c r="AC52" s="116" t="b">
        <f t="shared" si="11"/>
        <v>0</v>
      </c>
      <c r="AD52" s="116" t="b">
        <f t="shared" si="12"/>
        <v>0</v>
      </c>
      <c r="AE52" s="116" t="b">
        <f t="shared" si="13"/>
        <v>0</v>
      </c>
      <c r="AF52" s="116" t="s">
        <v>864</v>
      </c>
      <c r="AG52" s="116" t="s">
        <v>865</v>
      </c>
      <c r="AH52" s="116">
        <v>0</v>
      </c>
      <c r="AI52" s="116">
        <v>0</v>
      </c>
      <c r="AJ52" s="116" t="s">
        <v>1127</v>
      </c>
      <c r="AK52" s="116"/>
      <c r="AL52" s="82"/>
      <c r="AM52" s="82"/>
      <c r="AN52" s="82"/>
      <c r="AO52" s="82"/>
      <c r="AP52" s="82"/>
    </row>
    <row r="53" spans="3:42" x14ac:dyDescent="0.25">
      <c r="C53" s="102" t="s">
        <v>923</v>
      </c>
      <c r="D53" s="102" t="s">
        <v>870</v>
      </c>
      <c r="E53" s="102" t="s">
        <v>4</v>
      </c>
      <c r="F53" s="102" t="s">
        <v>859</v>
      </c>
      <c r="G53" s="97">
        <v>9</v>
      </c>
      <c r="H53" s="115" t="s">
        <v>1008</v>
      </c>
      <c r="I53" s="115" t="s">
        <v>1</v>
      </c>
      <c r="J53" s="115"/>
      <c r="K53" s="115"/>
      <c r="L53" s="115"/>
      <c r="M53" s="115"/>
      <c r="N53" s="115" t="s">
        <v>87</v>
      </c>
      <c r="O53" s="115" t="s">
        <v>870</v>
      </c>
      <c r="P53" s="115" t="s">
        <v>4</v>
      </c>
      <c r="Q53" s="115"/>
      <c r="R53" s="115">
        <v>9</v>
      </c>
      <c r="S53" s="116" t="str">
        <f t="shared" si="7"/>
        <v/>
      </c>
      <c r="T53" s="117" t="s">
        <v>1054</v>
      </c>
      <c r="U53" s="115" t="s">
        <v>435</v>
      </c>
      <c r="V53" s="115" t="s">
        <v>433</v>
      </c>
      <c r="W53" s="115" t="s">
        <v>861</v>
      </c>
      <c r="X53" s="115" t="s">
        <v>1010</v>
      </c>
      <c r="Y53" s="118">
        <v>2</v>
      </c>
      <c r="Z53" s="118" t="b">
        <f t="shared" si="8"/>
        <v>1</v>
      </c>
      <c r="AA53" s="116" t="b">
        <f t="shared" si="9"/>
        <v>1</v>
      </c>
      <c r="AB53" s="116" t="b">
        <f t="shared" si="10"/>
        <v>0</v>
      </c>
      <c r="AC53" s="116" t="b">
        <f t="shared" si="11"/>
        <v>0</v>
      </c>
      <c r="AD53" s="116" t="b">
        <f t="shared" si="12"/>
        <v>0</v>
      </c>
      <c r="AE53" s="116" t="b">
        <f t="shared" si="13"/>
        <v>0</v>
      </c>
      <c r="AF53" s="116" t="s">
        <v>862</v>
      </c>
      <c r="AG53" s="116" t="s">
        <v>863</v>
      </c>
      <c r="AH53" s="116">
        <v>0.01</v>
      </c>
      <c r="AI53" s="116">
        <v>0.01</v>
      </c>
      <c r="AJ53" s="116"/>
      <c r="AK53" s="116"/>
      <c r="AL53" s="82"/>
      <c r="AM53" s="82"/>
      <c r="AN53" s="82"/>
      <c r="AO53" s="82"/>
      <c r="AP53" s="82"/>
    </row>
    <row r="54" spans="3:42" x14ac:dyDescent="0.25">
      <c r="C54" s="102" t="s">
        <v>924</v>
      </c>
      <c r="D54" s="102" t="s">
        <v>870</v>
      </c>
      <c r="E54" s="102" t="s">
        <v>4</v>
      </c>
      <c r="F54" s="102" t="s">
        <v>859</v>
      </c>
      <c r="G54" s="97">
        <v>6</v>
      </c>
      <c r="H54" s="115" t="s">
        <v>1008</v>
      </c>
      <c r="I54" s="115" t="s">
        <v>75</v>
      </c>
      <c r="J54" s="115"/>
      <c r="K54" s="115"/>
      <c r="L54" s="115"/>
      <c r="M54" s="115"/>
      <c r="N54" s="115" t="s">
        <v>155</v>
      </c>
      <c r="O54" s="115" t="s">
        <v>870</v>
      </c>
      <c r="P54" s="115" t="s">
        <v>4</v>
      </c>
      <c r="Q54" s="115"/>
      <c r="R54" s="115">
        <v>6</v>
      </c>
      <c r="S54" s="116" t="str">
        <f t="shared" si="7"/>
        <v/>
      </c>
      <c r="T54" s="117" t="s">
        <v>1055</v>
      </c>
      <c r="U54" s="115" t="s">
        <v>438</v>
      </c>
      <c r="V54" s="115" t="s">
        <v>433</v>
      </c>
      <c r="W54" s="115" t="s">
        <v>861</v>
      </c>
      <c r="X54" s="115" t="s">
        <v>1010</v>
      </c>
      <c r="Y54" s="118">
        <v>2</v>
      </c>
      <c r="Z54" s="118" t="b">
        <f t="shared" si="8"/>
        <v>1</v>
      </c>
      <c r="AA54" s="116" t="b">
        <f t="shared" si="9"/>
        <v>0</v>
      </c>
      <c r="AB54" s="116" t="b">
        <f t="shared" si="10"/>
        <v>0</v>
      </c>
      <c r="AC54" s="116" t="b">
        <f t="shared" si="11"/>
        <v>0</v>
      </c>
      <c r="AD54" s="116" t="b">
        <f t="shared" si="12"/>
        <v>0</v>
      </c>
      <c r="AE54" s="116" t="b">
        <f t="shared" si="13"/>
        <v>0</v>
      </c>
      <c r="AF54" s="116" t="s">
        <v>864</v>
      </c>
      <c r="AG54" s="116" t="s">
        <v>865</v>
      </c>
      <c r="AH54" s="116">
        <v>0</v>
      </c>
      <c r="AI54" s="116">
        <v>0</v>
      </c>
      <c r="AJ54" s="116" t="s">
        <v>1127</v>
      </c>
      <c r="AK54" s="116"/>
      <c r="AL54" s="82"/>
      <c r="AM54" s="82"/>
      <c r="AN54" s="82"/>
      <c r="AO54" s="82"/>
      <c r="AP54" s="82"/>
    </row>
    <row r="55" spans="3:42" x14ac:dyDescent="0.25">
      <c r="C55" s="102" t="s">
        <v>925</v>
      </c>
      <c r="D55" s="102" t="s">
        <v>871</v>
      </c>
      <c r="E55" s="102" t="s">
        <v>3</v>
      </c>
      <c r="F55" s="102" t="s">
        <v>859</v>
      </c>
      <c r="G55" s="97">
        <v>9</v>
      </c>
      <c r="H55" s="115" t="s">
        <v>1008</v>
      </c>
      <c r="I55" s="115" t="s">
        <v>75</v>
      </c>
      <c r="J55" s="115"/>
      <c r="K55" s="115"/>
      <c r="L55" s="115"/>
      <c r="M55" s="115"/>
      <c r="N55" s="115" t="s">
        <v>150</v>
      </c>
      <c r="O55" s="115" t="s">
        <v>871</v>
      </c>
      <c r="P55" s="115" t="s">
        <v>3</v>
      </c>
      <c r="Q55" s="115"/>
      <c r="R55" s="115">
        <v>9</v>
      </c>
      <c r="S55" s="116" t="str">
        <f t="shared" si="7"/>
        <v/>
      </c>
      <c r="T55" s="117" t="s">
        <v>1056</v>
      </c>
      <c r="U55" s="115" t="s">
        <v>376</v>
      </c>
      <c r="V55" s="115" t="s">
        <v>375</v>
      </c>
      <c r="W55" s="115" t="s">
        <v>861</v>
      </c>
      <c r="X55" s="115" t="s">
        <v>1010</v>
      </c>
      <c r="Y55" s="118">
        <v>2</v>
      </c>
      <c r="Z55" s="118" t="b">
        <f t="shared" si="8"/>
        <v>1</v>
      </c>
      <c r="AA55" s="116" t="b">
        <f t="shared" si="9"/>
        <v>0</v>
      </c>
      <c r="AB55" s="116" t="b">
        <f t="shared" si="10"/>
        <v>0</v>
      </c>
      <c r="AC55" s="116" t="b">
        <f t="shared" si="11"/>
        <v>0</v>
      </c>
      <c r="AD55" s="116" t="b">
        <f t="shared" si="12"/>
        <v>0</v>
      </c>
      <c r="AE55" s="116" t="b">
        <f t="shared" si="13"/>
        <v>0</v>
      </c>
      <c r="AF55" s="116" t="s">
        <v>864</v>
      </c>
      <c r="AG55" s="116" t="s">
        <v>865</v>
      </c>
      <c r="AH55" s="116">
        <v>0</v>
      </c>
      <c r="AI55" s="116">
        <v>0</v>
      </c>
      <c r="AJ55" s="116" t="s">
        <v>1127</v>
      </c>
      <c r="AK55" s="116"/>
      <c r="AL55" s="82"/>
      <c r="AM55" s="82"/>
      <c r="AN55" s="82"/>
      <c r="AO55" s="82"/>
      <c r="AP55" s="82"/>
    </row>
    <row r="56" spans="3:42" x14ac:dyDescent="0.25">
      <c r="C56" s="102" t="s">
        <v>926</v>
      </c>
      <c r="D56" s="102" t="s">
        <v>870</v>
      </c>
      <c r="E56" s="102" t="s">
        <v>4</v>
      </c>
      <c r="F56" s="102" t="s">
        <v>859</v>
      </c>
      <c r="G56" s="97">
        <v>6</v>
      </c>
      <c r="H56" s="115" t="s">
        <v>1008</v>
      </c>
      <c r="I56" s="115" t="s">
        <v>75</v>
      </c>
      <c r="J56" s="115"/>
      <c r="K56" s="115"/>
      <c r="L56" s="115"/>
      <c r="M56" s="115"/>
      <c r="N56" s="115" t="s">
        <v>155</v>
      </c>
      <c r="O56" s="115" t="s">
        <v>870</v>
      </c>
      <c r="P56" s="115" t="s">
        <v>4</v>
      </c>
      <c r="Q56" s="115"/>
      <c r="R56" s="115">
        <v>6</v>
      </c>
      <c r="S56" s="116" t="str">
        <f t="shared" si="7"/>
        <v/>
      </c>
      <c r="T56" s="117" t="s">
        <v>1057</v>
      </c>
      <c r="U56" s="115" t="s">
        <v>342</v>
      </c>
      <c r="V56" s="115" t="s">
        <v>343</v>
      </c>
      <c r="W56" s="115" t="s">
        <v>861</v>
      </c>
      <c r="X56" s="115" t="s">
        <v>1010</v>
      </c>
      <c r="Y56" s="118">
        <v>2</v>
      </c>
      <c r="Z56" s="118" t="b">
        <f t="shared" si="8"/>
        <v>1</v>
      </c>
      <c r="AA56" s="116" t="b">
        <f t="shared" si="9"/>
        <v>0</v>
      </c>
      <c r="AB56" s="116" t="b">
        <f t="shared" si="10"/>
        <v>0</v>
      </c>
      <c r="AC56" s="116" t="b">
        <f t="shared" si="11"/>
        <v>0</v>
      </c>
      <c r="AD56" s="116" t="b">
        <f t="shared" si="12"/>
        <v>0</v>
      </c>
      <c r="AE56" s="116" t="b">
        <f t="shared" si="13"/>
        <v>0</v>
      </c>
      <c r="AF56" s="116" t="s">
        <v>864</v>
      </c>
      <c r="AG56" s="116" t="s">
        <v>865</v>
      </c>
      <c r="AH56" s="116">
        <v>0</v>
      </c>
      <c r="AI56" s="116">
        <v>0</v>
      </c>
      <c r="AJ56" s="116" t="s">
        <v>1127</v>
      </c>
      <c r="AK56" s="116"/>
      <c r="AL56" s="82"/>
      <c r="AM56" s="82"/>
      <c r="AN56" s="82"/>
      <c r="AO56" s="82"/>
      <c r="AP56" s="82"/>
    </row>
    <row r="57" spans="3:42" x14ac:dyDescent="0.25">
      <c r="C57" s="102" t="s">
        <v>927</v>
      </c>
      <c r="D57" s="102" t="s">
        <v>870</v>
      </c>
      <c r="E57" s="102" t="s">
        <v>4</v>
      </c>
      <c r="F57" s="102" t="s">
        <v>859</v>
      </c>
      <c r="G57" s="97">
        <v>9</v>
      </c>
      <c r="H57" s="115" t="s">
        <v>1008</v>
      </c>
      <c r="I57" s="115" t="s">
        <v>75</v>
      </c>
      <c r="J57" s="115"/>
      <c r="K57" s="115"/>
      <c r="L57" s="115"/>
      <c r="M57" s="115"/>
      <c r="N57" s="115" t="s">
        <v>155</v>
      </c>
      <c r="O57" s="115" t="s">
        <v>870</v>
      </c>
      <c r="P57" s="115" t="s">
        <v>4</v>
      </c>
      <c r="Q57" s="115"/>
      <c r="R57" s="115">
        <v>9</v>
      </c>
      <c r="S57" s="116" t="str">
        <f t="shared" si="7"/>
        <v/>
      </c>
      <c r="T57" s="117" t="s">
        <v>1058</v>
      </c>
      <c r="U57" s="115" t="s">
        <v>388</v>
      </c>
      <c r="V57" s="115" t="s">
        <v>386</v>
      </c>
      <c r="W57" s="115" t="s">
        <v>861</v>
      </c>
      <c r="X57" s="115" t="s">
        <v>1010</v>
      </c>
      <c r="Y57" s="118">
        <v>2</v>
      </c>
      <c r="Z57" s="118" t="b">
        <f t="shared" si="8"/>
        <v>1</v>
      </c>
      <c r="AA57" s="116" t="b">
        <f t="shared" si="9"/>
        <v>0</v>
      </c>
      <c r="AB57" s="116" t="b">
        <f t="shared" si="10"/>
        <v>0</v>
      </c>
      <c r="AC57" s="116" t="b">
        <f t="shared" si="11"/>
        <v>0</v>
      </c>
      <c r="AD57" s="116" t="b">
        <f t="shared" si="12"/>
        <v>0</v>
      </c>
      <c r="AE57" s="116" t="b">
        <f t="shared" si="13"/>
        <v>0</v>
      </c>
      <c r="AF57" s="116" t="s">
        <v>864</v>
      </c>
      <c r="AG57" s="116" t="s">
        <v>865</v>
      </c>
      <c r="AH57" s="116">
        <v>0</v>
      </c>
      <c r="AI57" s="116">
        <v>0</v>
      </c>
      <c r="AJ57" s="116" t="s">
        <v>1127</v>
      </c>
      <c r="AK57" s="116"/>
      <c r="AL57" s="82"/>
      <c r="AM57" s="82"/>
      <c r="AN57" s="82"/>
      <c r="AO57" s="82"/>
      <c r="AP57" s="82"/>
    </row>
    <row r="58" spans="3:42" x14ac:dyDescent="0.25">
      <c r="C58" s="102" t="s">
        <v>928</v>
      </c>
      <c r="D58" s="102" t="s">
        <v>870</v>
      </c>
      <c r="E58" s="102" t="s">
        <v>4</v>
      </c>
      <c r="F58" s="102" t="s">
        <v>859</v>
      </c>
      <c r="G58" s="97">
        <v>9</v>
      </c>
      <c r="H58" s="115" t="s">
        <v>1008</v>
      </c>
      <c r="I58" s="115" t="s">
        <v>1</v>
      </c>
      <c r="J58" s="115"/>
      <c r="K58" s="115"/>
      <c r="L58" s="115"/>
      <c r="M58" s="115"/>
      <c r="N58" s="115" t="s">
        <v>87</v>
      </c>
      <c r="O58" s="115" t="s">
        <v>870</v>
      </c>
      <c r="P58" s="115" t="s">
        <v>4</v>
      </c>
      <c r="Q58" s="115"/>
      <c r="R58" s="115">
        <v>9</v>
      </c>
      <c r="S58" s="116" t="str">
        <f t="shared" si="7"/>
        <v/>
      </c>
      <c r="T58" s="117" t="s">
        <v>1059</v>
      </c>
      <c r="U58" s="115" t="s">
        <v>387</v>
      </c>
      <c r="V58" s="115" t="s">
        <v>386</v>
      </c>
      <c r="W58" s="115" t="s">
        <v>861</v>
      </c>
      <c r="X58" s="115" t="s">
        <v>1010</v>
      </c>
      <c r="Y58" s="118">
        <v>2</v>
      </c>
      <c r="Z58" s="118" t="b">
        <f t="shared" si="8"/>
        <v>1</v>
      </c>
      <c r="AA58" s="116" t="b">
        <f t="shared" si="9"/>
        <v>1</v>
      </c>
      <c r="AB58" s="116" t="b">
        <f t="shared" si="10"/>
        <v>0</v>
      </c>
      <c r="AC58" s="116" t="b">
        <f t="shared" si="11"/>
        <v>0</v>
      </c>
      <c r="AD58" s="116" t="b">
        <f t="shared" si="12"/>
        <v>0</v>
      </c>
      <c r="AE58" s="116" t="b">
        <f t="shared" si="13"/>
        <v>0</v>
      </c>
      <c r="AF58" s="116" t="s">
        <v>862</v>
      </c>
      <c r="AG58" s="116" t="s">
        <v>863</v>
      </c>
      <c r="AH58" s="116">
        <v>0.01</v>
      </c>
      <c r="AI58" s="116">
        <v>0.01</v>
      </c>
      <c r="AJ58" s="116"/>
      <c r="AK58" s="116"/>
      <c r="AL58" s="82"/>
      <c r="AM58" s="82"/>
      <c r="AN58" s="82"/>
      <c r="AO58" s="82"/>
      <c r="AP58" s="82"/>
    </row>
    <row r="59" spans="3:42" x14ac:dyDescent="0.25">
      <c r="C59" s="102" t="s">
        <v>929</v>
      </c>
      <c r="D59" s="102" t="s">
        <v>870</v>
      </c>
      <c r="E59" s="102" t="s">
        <v>4</v>
      </c>
      <c r="F59" s="102" t="s">
        <v>859</v>
      </c>
      <c r="G59" s="97">
        <v>6</v>
      </c>
      <c r="H59" s="115" t="s">
        <v>1008</v>
      </c>
      <c r="I59" s="115" t="s">
        <v>75</v>
      </c>
      <c r="J59" s="115"/>
      <c r="K59" s="115"/>
      <c r="L59" s="115"/>
      <c r="M59" s="115"/>
      <c r="N59" s="115" t="s">
        <v>155</v>
      </c>
      <c r="O59" s="115" t="s">
        <v>870</v>
      </c>
      <c r="P59" s="115" t="s">
        <v>4</v>
      </c>
      <c r="Q59" s="115"/>
      <c r="R59" s="115">
        <v>6</v>
      </c>
      <c r="S59" s="116" t="str">
        <f t="shared" si="7"/>
        <v/>
      </c>
      <c r="T59" s="117" t="s">
        <v>1060</v>
      </c>
      <c r="U59" s="115" t="s">
        <v>430</v>
      </c>
      <c r="V59" s="115" t="s">
        <v>426</v>
      </c>
      <c r="W59" s="115" t="s">
        <v>861</v>
      </c>
      <c r="X59" s="115" t="s">
        <v>1010</v>
      </c>
      <c r="Y59" s="118">
        <v>2</v>
      </c>
      <c r="Z59" s="118" t="b">
        <f t="shared" si="8"/>
        <v>1</v>
      </c>
      <c r="AA59" s="116" t="b">
        <f t="shared" si="9"/>
        <v>0</v>
      </c>
      <c r="AB59" s="116" t="b">
        <f t="shared" si="10"/>
        <v>0</v>
      </c>
      <c r="AC59" s="116" t="b">
        <f t="shared" si="11"/>
        <v>0</v>
      </c>
      <c r="AD59" s="116" t="b">
        <f t="shared" si="12"/>
        <v>0</v>
      </c>
      <c r="AE59" s="116" t="b">
        <f t="shared" si="13"/>
        <v>0</v>
      </c>
      <c r="AF59" s="116" t="s">
        <v>864</v>
      </c>
      <c r="AG59" s="116" t="s">
        <v>865</v>
      </c>
      <c r="AH59" s="116">
        <v>0</v>
      </c>
      <c r="AI59" s="116">
        <v>0</v>
      </c>
      <c r="AJ59" s="116" t="s">
        <v>1127</v>
      </c>
      <c r="AK59" s="116"/>
      <c r="AL59" s="82"/>
      <c r="AM59" s="82"/>
      <c r="AN59" s="82"/>
      <c r="AO59" s="82"/>
      <c r="AP59" s="82"/>
    </row>
    <row r="60" spans="3:42" x14ac:dyDescent="0.25">
      <c r="C60" s="102" t="s">
        <v>930</v>
      </c>
      <c r="D60" s="102" t="s">
        <v>870</v>
      </c>
      <c r="E60" s="102" t="s">
        <v>4</v>
      </c>
      <c r="F60" s="102" t="s">
        <v>859</v>
      </c>
      <c r="G60" s="97">
        <v>3</v>
      </c>
      <c r="H60" s="115" t="s">
        <v>1008</v>
      </c>
      <c r="I60" s="115" t="s">
        <v>236</v>
      </c>
      <c r="J60" s="115"/>
      <c r="K60" s="115"/>
      <c r="L60" s="115"/>
      <c r="M60" s="115"/>
      <c r="N60" s="115" t="s">
        <v>85</v>
      </c>
      <c r="O60" s="115" t="s">
        <v>870</v>
      </c>
      <c r="P60" s="115" t="s">
        <v>4</v>
      </c>
      <c r="Q60" s="115"/>
      <c r="R60" s="115">
        <v>18</v>
      </c>
      <c r="S60" s="116" t="str">
        <f t="shared" si="7"/>
        <v/>
      </c>
      <c r="T60" s="117" t="s">
        <v>1061</v>
      </c>
      <c r="U60" s="115" t="s">
        <v>427</v>
      </c>
      <c r="V60" s="115" t="s">
        <v>426</v>
      </c>
      <c r="W60" s="115" t="s">
        <v>861</v>
      </c>
      <c r="X60" s="115" t="s">
        <v>1062</v>
      </c>
      <c r="Y60" s="118">
        <v>0</v>
      </c>
      <c r="Z60" s="118" t="b">
        <f t="shared" si="8"/>
        <v>0</v>
      </c>
      <c r="AA60" s="116" t="b">
        <f t="shared" si="9"/>
        <v>1</v>
      </c>
      <c r="AB60" s="116" t="b">
        <f t="shared" si="10"/>
        <v>0</v>
      </c>
      <c r="AC60" s="116" t="b">
        <f t="shared" si="11"/>
        <v>0</v>
      </c>
      <c r="AD60" s="116" t="b">
        <f t="shared" si="12"/>
        <v>0</v>
      </c>
      <c r="AE60" s="116" t="b">
        <f t="shared" si="13"/>
        <v>1</v>
      </c>
      <c r="AF60" s="116" t="s">
        <v>862</v>
      </c>
      <c r="AG60" s="116" t="s">
        <v>876</v>
      </c>
      <c r="AH60" s="116">
        <v>0.01</v>
      </c>
      <c r="AI60" s="116">
        <v>1</v>
      </c>
      <c r="AJ60" s="116"/>
      <c r="AK60" s="116" t="s">
        <v>1128</v>
      </c>
      <c r="AL60" s="82"/>
      <c r="AM60" s="82"/>
      <c r="AN60" s="82"/>
      <c r="AO60" s="82"/>
      <c r="AP60" s="82"/>
    </row>
    <row r="61" spans="3:42" x14ac:dyDescent="0.25">
      <c r="C61" s="102" t="s">
        <v>931</v>
      </c>
      <c r="D61" s="102" t="s">
        <v>870</v>
      </c>
      <c r="E61" s="102" t="s">
        <v>4</v>
      </c>
      <c r="F61" s="102" t="s">
        <v>859</v>
      </c>
      <c r="G61" s="97">
        <v>6</v>
      </c>
      <c r="H61" s="115" t="s">
        <v>1008</v>
      </c>
      <c r="I61" s="115" t="s">
        <v>75</v>
      </c>
      <c r="J61" s="115"/>
      <c r="K61" s="115"/>
      <c r="L61" s="115"/>
      <c r="M61" s="115"/>
      <c r="N61" s="115" t="s">
        <v>155</v>
      </c>
      <c r="O61" s="115" t="s">
        <v>870</v>
      </c>
      <c r="P61" s="115" t="s">
        <v>4</v>
      </c>
      <c r="Q61" s="115"/>
      <c r="R61" s="115">
        <v>6</v>
      </c>
      <c r="S61" s="116" t="str">
        <f t="shared" si="7"/>
        <v/>
      </c>
      <c r="T61" s="117" t="s">
        <v>1063</v>
      </c>
      <c r="U61" s="115" t="s">
        <v>363</v>
      </c>
      <c r="V61" s="115" t="s">
        <v>360</v>
      </c>
      <c r="W61" s="115" t="s">
        <v>861</v>
      </c>
      <c r="X61" s="115" t="s">
        <v>1010</v>
      </c>
      <c r="Y61" s="118">
        <v>2</v>
      </c>
      <c r="Z61" s="118" t="b">
        <f t="shared" si="8"/>
        <v>1</v>
      </c>
      <c r="AA61" s="116" t="b">
        <f t="shared" si="9"/>
        <v>0</v>
      </c>
      <c r="AB61" s="116" t="b">
        <f t="shared" si="10"/>
        <v>0</v>
      </c>
      <c r="AC61" s="116" t="b">
        <f t="shared" si="11"/>
        <v>0</v>
      </c>
      <c r="AD61" s="116" t="b">
        <f t="shared" si="12"/>
        <v>0</v>
      </c>
      <c r="AE61" s="116" t="b">
        <f t="shared" si="13"/>
        <v>0</v>
      </c>
      <c r="AF61" s="116" t="s">
        <v>864</v>
      </c>
      <c r="AG61" s="116" t="s">
        <v>865</v>
      </c>
      <c r="AH61" s="116">
        <v>0</v>
      </c>
      <c r="AI61" s="116">
        <v>0</v>
      </c>
      <c r="AJ61" s="116" t="s">
        <v>1127</v>
      </c>
      <c r="AK61" s="116"/>
      <c r="AL61" s="82"/>
      <c r="AM61" s="82"/>
      <c r="AN61" s="82"/>
      <c r="AO61" s="82"/>
      <c r="AP61" s="82"/>
    </row>
    <row r="62" spans="3:42" x14ac:dyDescent="0.25">
      <c r="C62" s="102" t="s">
        <v>932</v>
      </c>
      <c r="D62" s="102" t="s">
        <v>871</v>
      </c>
      <c r="E62" s="102" t="s">
        <v>3</v>
      </c>
      <c r="F62" s="102" t="s">
        <v>859</v>
      </c>
      <c r="G62" s="97">
        <v>6</v>
      </c>
      <c r="H62" s="115" t="s">
        <v>1008</v>
      </c>
      <c r="I62" s="115" t="s">
        <v>47</v>
      </c>
      <c r="J62" s="115"/>
      <c r="K62" s="115"/>
      <c r="L62" s="115"/>
      <c r="M62" s="115"/>
      <c r="N62" s="115" t="s">
        <v>203</v>
      </c>
      <c r="O62" s="115" t="s">
        <v>871</v>
      </c>
      <c r="P62" s="115" t="s">
        <v>3</v>
      </c>
      <c r="Q62" s="115"/>
      <c r="R62" s="115">
        <v>6</v>
      </c>
      <c r="S62" s="116" t="str">
        <f t="shared" si="7"/>
        <v/>
      </c>
      <c r="T62" s="117" t="s">
        <v>1064</v>
      </c>
      <c r="U62" s="115" t="s">
        <v>396</v>
      </c>
      <c r="V62" s="115" t="s">
        <v>8</v>
      </c>
      <c r="W62" s="115" t="s">
        <v>861</v>
      </c>
      <c r="X62" s="115" t="s">
        <v>1010</v>
      </c>
      <c r="Y62" s="118">
        <v>2</v>
      </c>
      <c r="Z62" s="118" t="b">
        <f t="shared" si="8"/>
        <v>1</v>
      </c>
      <c r="AA62" s="116" t="b">
        <f t="shared" si="9"/>
        <v>1</v>
      </c>
      <c r="AB62" s="116" t="b">
        <f t="shared" si="10"/>
        <v>0</v>
      </c>
      <c r="AC62" s="116" t="b">
        <f t="shared" si="11"/>
        <v>0</v>
      </c>
      <c r="AD62" s="116" t="b">
        <f t="shared" si="12"/>
        <v>0</v>
      </c>
      <c r="AE62" s="116" t="b">
        <f t="shared" si="13"/>
        <v>0</v>
      </c>
      <c r="AF62" s="116" t="s">
        <v>862</v>
      </c>
      <c r="AG62" s="116" t="s">
        <v>863</v>
      </c>
      <c r="AH62" s="116">
        <v>0.01</v>
      </c>
      <c r="AI62" s="116">
        <v>0.01</v>
      </c>
      <c r="AJ62" s="116"/>
      <c r="AK62" s="116"/>
      <c r="AL62" s="82"/>
      <c r="AM62" s="82"/>
      <c r="AN62" s="82"/>
      <c r="AO62" s="82"/>
      <c r="AP62" s="82"/>
    </row>
    <row r="63" spans="3:42" x14ac:dyDescent="0.25">
      <c r="C63" s="102" t="s">
        <v>933</v>
      </c>
      <c r="D63" s="102" t="s">
        <v>871</v>
      </c>
      <c r="E63" s="102" t="s">
        <v>4</v>
      </c>
      <c r="F63" s="102" t="s">
        <v>859</v>
      </c>
      <c r="G63" s="97">
        <v>12</v>
      </c>
      <c r="H63" s="115" t="s">
        <v>1008</v>
      </c>
      <c r="I63" s="115" t="s">
        <v>236</v>
      </c>
      <c r="J63" s="115"/>
      <c r="K63" s="115"/>
      <c r="L63" s="115"/>
      <c r="M63" s="115"/>
      <c r="N63" s="115" t="s">
        <v>89</v>
      </c>
      <c r="O63" s="115" t="s">
        <v>871</v>
      </c>
      <c r="P63" s="115" t="s">
        <v>1016</v>
      </c>
      <c r="Q63" s="115"/>
      <c r="R63" s="115">
        <v>12</v>
      </c>
      <c r="S63" s="116" t="str">
        <f t="shared" si="7"/>
        <v/>
      </c>
      <c r="T63" s="117" t="s">
        <v>1065</v>
      </c>
      <c r="U63" s="115" t="s">
        <v>362</v>
      </c>
      <c r="V63" s="115" t="s">
        <v>360</v>
      </c>
      <c r="W63" s="115" t="s">
        <v>861</v>
      </c>
      <c r="X63" s="115" t="s">
        <v>1010</v>
      </c>
      <c r="Y63" s="118">
        <v>2</v>
      </c>
      <c r="Z63" s="118" t="b">
        <f t="shared" si="8"/>
        <v>1</v>
      </c>
      <c r="AA63" s="116" t="b">
        <f t="shared" si="9"/>
        <v>1</v>
      </c>
      <c r="AB63" s="116" t="b">
        <f t="shared" si="10"/>
        <v>0</v>
      </c>
      <c r="AC63" s="116" t="b">
        <f t="shared" si="11"/>
        <v>1</v>
      </c>
      <c r="AD63" s="116" t="b">
        <f t="shared" si="12"/>
        <v>0</v>
      </c>
      <c r="AE63" s="116" t="b">
        <f t="shared" si="13"/>
        <v>0</v>
      </c>
      <c r="AF63" s="116" t="s">
        <v>862</v>
      </c>
      <c r="AG63" s="116" t="s">
        <v>863</v>
      </c>
      <c r="AH63" s="116">
        <v>0.01</v>
      </c>
      <c r="AI63" s="116">
        <v>0.01</v>
      </c>
      <c r="AJ63" s="116"/>
      <c r="AK63" s="116"/>
      <c r="AL63" s="82"/>
      <c r="AM63" s="82"/>
      <c r="AN63" s="82"/>
      <c r="AO63" s="82"/>
      <c r="AP63" s="82"/>
    </row>
    <row r="64" spans="3:42" x14ac:dyDescent="0.25">
      <c r="C64" s="102" t="s">
        <v>934</v>
      </c>
      <c r="D64" s="102" t="s">
        <v>870</v>
      </c>
      <c r="E64" s="102" t="s">
        <v>4</v>
      </c>
      <c r="F64" s="102" t="s">
        <v>859</v>
      </c>
      <c r="G64" s="97">
        <v>6</v>
      </c>
      <c r="H64" s="115" t="s">
        <v>1008</v>
      </c>
      <c r="I64" s="115" t="s">
        <v>75</v>
      </c>
      <c r="J64" s="115"/>
      <c r="K64" s="115"/>
      <c r="L64" s="115"/>
      <c r="M64" s="115"/>
      <c r="N64" s="115" t="s">
        <v>155</v>
      </c>
      <c r="O64" s="115" t="s">
        <v>870</v>
      </c>
      <c r="P64" s="115" t="s">
        <v>4</v>
      </c>
      <c r="Q64" s="115"/>
      <c r="R64" s="115">
        <v>6</v>
      </c>
      <c r="S64" s="116" t="str">
        <f t="shared" si="7"/>
        <v/>
      </c>
      <c r="T64" s="117" t="s">
        <v>1066</v>
      </c>
      <c r="U64" s="115" t="s">
        <v>397</v>
      </c>
      <c r="V64" s="115" t="s">
        <v>8</v>
      </c>
      <c r="W64" s="115" t="s">
        <v>861</v>
      </c>
      <c r="X64" s="115" t="s">
        <v>1010</v>
      </c>
      <c r="Y64" s="118">
        <v>2</v>
      </c>
      <c r="Z64" s="118" t="b">
        <f t="shared" si="8"/>
        <v>1</v>
      </c>
      <c r="AA64" s="116" t="b">
        <f t="shared" si="9"/>
        <v>0</v>
      </c>
      <c r="AB64" s="116" t="b">
        <f t="shared" si="10"/>
        <v>0</v>
      </c>
      <c r="AC64" s="116" t="b">
        <f t="shared" si="11"/>
        <v>0</v>
      </c>
      <c r="AD64" s="116" t="b">
        <f t="shared" si="12"/>
        <v>0</v>
      </c>
      <c r="AE64" s="116" t="b">
        <f t="shared" si="13"/>
        <v>0</v>
      </c>
      <c r="AF64" s="116" t="s">
        <v>864</v>
      </c>
      <c r="AG64" s="116" t="s">
        <v>865</v>
      </c>
      <c r="AH64" s="116">
        <v>0</v>
      </c>
      <c r="AI64" s="116">
        <v>0</v>
      </c>
      <c r="AJ64" s="116" t="s">
        <v>1127</v>
      </c>
      <c r="AK64" s="116"/>
      <c r="AL64" s="82"/>
      <c r="AM64" s="82"/>
      <c r="AN64" s="82"/>
      <c r="AO64" s="82"/>
      <c r="AP64" s="82"/>
    </row>
    <row r="65" spans="3:42" x14ac:dyDescent="0.25">
      <c r="C65" s="102" t="s">
        <v>935</v>
      </c>
      <c r="D65" s="102" t="s">
        <v>871</v>
      </c>
      <c r="E65" s="102" t="s">
        <v>3</v>
      </c>
      <c r="F65" s="102" t="s">
        <v>859</v>
      </c>
      <c r="G65" s="97">
        <v>15</v>
      </c>
      <c r="H65" s="115" t="s">
        <v>1008</v>
      </c>
      <c r="I65" s="115" t="s">
        <v>236</v>
      </c>
      <c r="J65" s="115"/>
      <c r="K65" s="115"/>
      <c r="L65" s="115"/>
      <c r="M65" s="115"/>
      <c r="N65" s="115" t="s">
        <v>89</v>
      </c>
      <c r="O65" s="115" t="s">
        <v>871</v>
      </c>
      <c r="P65" s="115" t="s">
        <v>3</v>
      </c>
      <c r="Q65" s="115"/>
      <c r="R65" s="115">
        <v>15</v>
      </c>
      <c r="S65" s="116" t="str">
        <f t="shared" si="7"/>
        <v/>
      </c>
      <c r="T65" s="117" t="s">
        <v>1067</v>
      </c>
      <c r="U65" s="115" t="s">
        <v>331</v>
      </c>
      <c r="V65" s="115" t="s">
        <v>330</v>
      </c>
      <c r="W65" s="115" t="s">
        <v>861</v>
      </c>
      <c r="X65" s="115" t="s">
        <v>1010</v>
      </c>
      <c r="Y65" s="118">
        <v>2</v>
      </c>
      <c r="Z65" s="118" t="b">
        <f t="shared" si="8"/>
        <v>1</v>
      </c>
      <c r="AA65" s="116" t="b">
        <f t="shared" si="9"/>
        <v>1</v>
      </c>
      <c r="AB65" s="116" t="b">
        <f t="shared" si="10"/>
        <v>0</v>
      </c>
      <c r="AC65" s="116" t="b">
        <f t="shared" si="11"/>
        <v>0</v>
      </c>
      <c r="AD65" s="116" t="b">
        <f t="shared" si="12"/>
        <v>0</v>
      </c>
      <c r="AE65" s="116" t="b">
        <f t="shared" si="13"/>
        <v>0</v>
      </c>
      <c r="AF65" s="116" t="s">
        <v>862</v>
      </c>
      <c r="AG65" s="116" t="s">
        <v>863</v>
      </c>
      <c r="AH65" s="116">
        <v>0.01</v>
      </c>
      <c r="AI65" s="116">
        <v>0.01</v>
      </c>
      <c r="AJ65" s="116"/>
      <c r="AK65" s="116"/>
      <c r="AL65" s="82"/>
      <c r="AM65" s="82"/>
      <c r="AN65" s="82"/>
      <c r="AO65" s="82"/>
      <c r="AP65" s="82"/>
    </row>
    <row r="66" spans="3:42" x14ac:dyDescent="0.25">
      <c r="C66" s="102" t="s">
        <v>936</v>
      </c>
      <c r="D66" s="102" t="s">
        <v>870</v>
      </c>
      <c r="E66" s="102" t="s">
        <v>4</v>
      </c>
      <c r="F66" s="102" t="s">
        <v>859</v>
      </c>
      <c r="G66" s="97">
        <v>6</v>
      </c>
      <c r="H66" s="115" t="s">
        <v>1008</v>
      </c>
      <c r="I66" s="115" t="s">
        <v>1</v>
      </c>
      <c r="J66" s="115"/>
      <c r="K66" s="115"/>
      <c r="L66" s="115"/>
      <c r="M66" s="115"/>
      <c r="N66" s="115" t="s">
        <v>87</v>
      </c>
      <c r="O66" s="115" t="s">
        <v>870</v>
      </c>
      <c r="P66" s="115" t="s">
        <v>4</v>
      </c>
      <c r="Q66" s="115"/>
      <c r="R66" s="115">
        <v>6</v>
      </c>
      <c r="S66" s="116" t="str">
        <f t="shared" si="7"/>
        <v/>
      </c>
      <c r="T66" s="117" t="s">
        <v>1059</v>
      </c>
      <c r="U66" s="115" t="s">
        <v>387</v>
      </c>
      <c r="V66" s="115" t="s">
        <v>386</v>
      </c>
      <c r="W66" s="115" t="s">
        <v>861</v>
      </c>
      <c r="X66" s="115" t="s">
        <v>1010</v>
      </c>
      <c r="Y66" s="118">
        <v>2</v>
      </c>
      <c r="Z66" s="118" t="b">
        <f t="shared" si="8"/>
        <v>1</v>
      </c>
      <c r="AA66" s="116" t="b">
        <f t="shared" si="9"/>
        <v>1</v>
      </c>
      <c r="AB66" s="116" t="b">
        <f t="shared" si="10"/>
        <v>0</v>
      </c>
      <c r="AC66" s="116" t="b">
        <f t="shared" si="11"/>
        <v>0</v>
      </c>
      <c r="AD66" s="116" t="b">
        <f t="shared" si="12"/>
        <v>0</v>
      </c>
      <c r="AE66" s="116" t="b">
        <f t="shared" si="13"/>
        <v>0</v>
      </c>
      <c r="AF66" s="116" t="s">
        <v>862</v>
      </c>
      <c r="AG66" s="116" t="s">
        <v>863</v>
      </c>
      <c r="AH66" s="116">
        <v>0.01</v>
      </c>
      <c r="AI66" s="116">
        <v>0.01</v>
      </c>
      <c r="AJ66" s="116"/>
      <c r="AK66" s="116"/>
      <c r="AL66" s="82"/>
      <c r="AM66" s="82"/>
      <c r="AN66" s="82"/>
      <c r="AO66" s="82"/>
      <c r="AP66" s="82"/>
    </row>
    <row r="67" spans="3:42" x14ac:dyDescent="0.25">
      <c r="C67" s="102" t="s">
        <v>937</v>
      </c>
      <c r="D67" s="102" t="s">
        <v>871</v>
      </c>
      <c r="E67" s="102" t="s">
        <v>3</v>
      </c>
      <c r="F67" s="102" t="s">
        <v>859</v>
      </c>
      <c r="G67" s="97">
        <v>9</v>
      </c>
      <c r="H67" s="115" t="s">
        <v>1008</v>
      </c>
      <c r="I67" s="115" t="s">
        <v>75</v>
      </c>
      <c r="J67" s="115"/>
      <c r="K67" s="115"/>
      <c r="L67" s="115"/>
      <c r="M67" s="115"/>
      <c r="N67" s="115" t="s">
        <v>150</v>
      </c>
      <c r="O67" s="115" t="s">
        <v>871</v>
      </c>
      <c r="P67" s="115" t="s">
        <v>3</v>
      </c>
      <c r="Q67" s="115"/>
      <c r="R67" s="115">
        <v>9</v>
      </c>
      <c r="S67" s="116" t="str">
        <f t="shared" si="7"/>
        <v/>
      </c>
      <c r="T67" s="117" t="s">
        <v>1068</v>
      </c>
      <c r="U67" s="115" t="s">
        <v>359</v>
      </c>
      <c r="V67" s="115" t="s">
        <v>360</v>
      </c>
      <c r="W67" s="115" t="s">
        <v>861</v>
      </c>
      <c r="X67" s="115" t="s">
        <v>1010</v>
      </c>
      <c r="Y67" s="118">
        <v>2</v>
      </c>
      <c r="Z67" s="118" t="b">
        <f t="shared" si="8"/>
        <v>1</v>
      </c>
      <c r="AA67" s="116" t="b">
        <f t="shared" si="9"/>
        <v>0</v>
      </c>
      <c r="AB67" s="116" t="b">
        <f t="shared" si="10"/>
        <v>0</v>
      </c>
      <c r="AC67" s="116" t="b">
        <f t="shared" si="11"/>
        <v>0</v>
      </c>
      <c r="AD67" s="116" t="b">
        <f t="shared" si="12"/>
        <v>0</v>
      </c>
      <c r="AE67" s="116" t="b">
        <f t="shared" si="13"/>
        <v>0</v>
      </c>
      <c r="AF67" s="116" t="s">
        <v>864</v>
      </c>
      <c r="AG67" s="116" t="s">
        <v>865</v>
      </c>
      <c r="AH67" s="116">
        <v>0</v>
      </c>
      <c r="AI67" s="116">
        <v>0</v>
      </c>
      <c r="AJ67" s="116" t="s">
        <v>1127</v>
      </c>
      <c r="AK67" s="116"/>
      <c r="AL67" s="82"/>
      <c r="AM67" s="82"/>
      <c r="AN67" s="82"/>
      <c r="AO67" s="82"/>
      <c r="AP67" s="82"/>
    </row>
    <row r="68" spans="3:42" x14ac:dyDescent="0.25">
      <c r="C68" s="102" t="s">
        <v>938</v>
      </c>
      <c r="D68" s="102" t="s">
        <v>871</v>
      </c>
      <c r="E68" s="102" t="s">
        <v>4</v>
      </c>
      <c r="F68" s="102" t="s">
        <v>859</v>
      </c>
      <c r="G68" s="97">
        <v>9</v>
      </c>
      <c r="H68" s="115" t="s">
        <v>1008</v>
      </c>
      <c r="I68" s="115" t="s">
        <v>47</v>
      </c>
      <c r="J68" s="115"/>
      <c r="K68" s="115"/>
      <c r="L68" s="115"/>
      <c r="M68" s="115"/>
      <c r="N68" s="115" t="s">
        <v>203</v>
      </c>
      <c r="O68" s="115" t="s">
        <v>871</v>
      </c>
      <c r="P68" s="115" t="s">
        <v>3</v>
      </c>
      <c r="Q68" s="115"/>
      <c r="R68" s="115">
        <v>9</v>
      </c>
      <c r="S68" s="116" t="str">
        <f t="shared" si="7"/>
        <v/>
      </c>
      <c r="T68" s="117" t="s">
        <v>1069</v>
      </c>
      <c r="U68" s="115" t="s">
        <v>428</v>
      </c>
      <c r="V68" s="115" t="s">
        <v>426</v>
      </c>
      <c r="W68" s="115" t="s">
        <v>861</v>
      </c>
      <c r="X68" s="115" t="s">
        <v>1010</v>
      </c>
      <c r="Y68" s="118">
        <v>2</v>
      </c>
      <c r="Z68" s="118" t="b">
        <f t="shared" si="8"/>
        <v>1</v>
      </c>
      <c r="AA68" s="116" t="b">
        <f t="shared" si="9"/>
        <v>1</v>
      </c>
      <c r="AB68" s="116" t="b">
        <f t="shared" si="10"/>
        <v>0</v>
      </c>
      <c r="AC68" s="116" t="b">
        <f t="shared" si="11"/>
        <v>1</v>
      </c>
      <c r="AD68" s="116" t="b">
        <f t="shared" si="12"/>
        <v>0</v>
      </c>
      <c r="AE68" s="116" t="b">
        <f t="shared" si="13"/>
        <v>0</v>
      </c>
      <c r="AF68" s="116" t="s">
        <v>862</v>
      </c>
      <c r="AG68" s="116" t="s">
        <v>863</v>
      </c>
      <c r="AH68" s="116">
        <v>0.01</v>
      </c>
      <c r="AI68" s="116">
        <v>0.01</v>
      </c>
      <c r="AJ68" s="116"/>
      <c r="AK68" s="116"/>
      <c r="AL68" s="82"/>
      <c r="AM68" s="82"/>
      <c r="AN68" s="82"/>
      <c r="AO68" s="82"/>
      <c r="AP68" s="82"/>
    </row>
    <row r="69" spans="3:42" x14ac:dyDescent="0.25">
      <c r="C69" s="102" t="s">
        <v>939</v>
      </c>
      <c r="D69" s="102" t="s">
        <v>871</v>
      </c>
      <c r="E69" s="102" t="s">
        <v>4</v>
      </c>
      <c r="F69" s="102" t="s">
        <v>859</v>
      </c>
      <c r="G69" s="97">
        <v>6</v>
      </c>
      <c r="H69" s="115" t="s">
        <v>1008</v>
      </c>
      <c r="I69" s="115" t="s">
        <v>75</v>
      </c>
      <c r="J69" s="115"/>
      <c r="K69" s="115"/>
      <c r="L69" s="115"/>
      <c r="M69" s="115"/>
      <c r="N69" s="115" t="s">
        <v>150</v>
      </c>
      <c r="O69" s="115" t="s">
        <v>871</v>
      </c>
      <c r="P69" s="115" t="s">
        <v>4</v>
      </c>
      <c r="Q69" s="115"/>
      <c r="R69" s="115">
        <v>6</v>
      </c>
      <c r="S69" s="116" t="str">
        <f t="shared" si="7"/>
        <v/>
      </c>
      <c r="T69" s="117" t="s">
        <v>1070</v>
      </c>
      <c r="U69" s="115" t="s">
        <v>427</v>
      </c>
      <c r="V69" s="115" t="s">
        <v>426</v>
      </c>
      <c r="W69" s="115" t="s">
        <v>861</v>
      </c>
      <c r="X69" s="115" t="s">
        <v>1010</v>
      </c>
      <c r="Y69" s="118">
        <v>2</v>
      </c>
      <c r="Z69" s="118" t="b">
        <f t="shared" si="8"/>
        <v>1</v>
      </c>
      <c r="AA69" s="116" t="b">
        <f t="shared" si="9"/>
        <v>0</v>
      </c>
      <c r="AB69" s="116" t="b">
        <f t="shared" si="10"/>
        <v>0</v>
      </c>
      <c r="AC69" s="116" t="b">
        <f t="shared" si="11"/>
        <v>0</v>
      </c>
      <c r="AD69" s="116" t="b">
        <f t="shared" si="12"/>
        <v>0</v>
      </c>
      <c r="AE69" s="116" t="b">
        <f t="shared" si="13"/>
        <v>0</v>
      </c>
      <c r="AF69" s="116" t="s">
        <v>864</v>
      </c>
      <c r="AG69" s="116" t="s">
        <v>865</v>
      </c>
      <c r="AH69" s="116">
        <v>0</v>
      </c>
      <c r="AI69" s="116">
        <v>0</v>
      </c>
      <c r="AJ69" s="116" t="s">
        <v>1127</v>
      </c>
      <c r="AK69" s="116"/>
      <c r="AL69" s="82"/>
      <c r="AM69" s="82"/>
      <c r="AN69" s="82"/>
      <c r="AO69" s="82"/>
      <c r="AP69" s="82"/>
    </row>
    <row r="70" spans="3:42" x14ac:dyDescent="0.25">
      <c r="C70" s="102" t="s">
        <v>940</v>
      </c>
      <c r="D70" s="102" t="s">
        <v>870</v>
      </c>
      <c r="E70" s="102" t="s">
        <v>4</v>
      </c>
      <c r="F70" s="102" t="s">
        <v>859</v>
      </c>
      <c r="G70" s="97">
        <v>6</v>
      </c>
      <c r="H70" s="115" t="s">
        <v>1008</v>
      </c>
      <c r="I70" s="115" t="s">
        <v>75</v>
      </c>
      <c r="J70" s="115"/>
      <c r="K70" s="115"/>
      <c r="L70" s="115"/>
      <c r="M70" s="115"/>
      <c r="N70" s="115" t="s">
        <v>155</v>
      </c>
      <c r="O70" s="115" t="s">
        <v>870</v>
      </c>
      <c r="P70" s="115" t="s">
        <v>4</v>
      </c>
      <c r="Q70" s="115"/>
      <c r="R70" s="115">
        <v>6</v>
      </c>
      <c r="S70" s="116" t="str">
        <f t="shared" si="7"/>
        <v/>
      </c>
      <c r="T70" s="117" t="s">
        <v>1071</v>
      </c>
      <c r="U70" s="115" t="s">
        <v>395</v>
      </c>
      <c r="V70" s="115" t="s">
        <v>8</v>
      </c>
      <c r="W70" s="115" t="s">
        <v>861</v>
      </c>
      <c r="X70" s="115" t="s">
        <v>1010</v>
      </c>
      <c r="Y70" s="118">
        <v>2</v>
      </c>
      <c r="Z70" s="118" t="b">
        <f t="shared" si="8"/>
        <v>1</v>
      </c>
      <c r="AA70" s="116" t="b">
        <f t="shared" si="9"/>
        <v>0</v>
      </c>
      <c r="AB70" s="116" t="b">
        <f t="shared" si="10"/>
        <v>0</v>
      </c>
      <c r="AC70" s="116" t="b">
        <f t="shared" si="11"/>
        <v>0</v>
      </c>
      <c r="AD70" s="116" t="b">
        <f t="shared" si="12"/>
        <v>0</v>
      </c>
      <c r="AE70" s="116" t="b">
        <f t="shared" si="13"/>
        <v>0</v>
      </c>
      <c r="AF70" s="116" t="s">
        <v>864</v>
      </c>
      <c r="AG70" s="116" t="s">
        <v>865</v>
      </c>
      <c r="AH70" s="116">
        <v>0</v>
      </c>
      <c r="AI70" s="116">
        <v>0</v>
      </c>
      <c r="AJ70" s="116" t="s">
        <v>1127</v>
      </c>
      <c r="AK70" s="116"/>
      <c r="AL70" s="82"/>
      <c r="AM70" s="82"/>
      <c r="AN70" s="82"/>
      <c r="AO70" s="82"/>
      <c r="AP70" s="82"/>
    </row>
    <row r="71" spans="3:42" x14ac:dyDescent="0.25">
      <c r="C71" s="102" t="s">
        <v>941</v>
      </c>
      <c r="D71" s="102" t="s">
        <v>870</v>
      </c>
      <c r="E71" s="102" t="s">
        <v>4</v>
      </c>
      <c r="F71" s="102" t="s">
        <v>859</v>
      </c>
      <c r="G71" s="97">
        <v>6</v>
      </c>
      <c r="H71" s="115" t="s">
        <v>1008</v>
      </c>
      <c r="I71" s="115" t="s">
        <v>47</v>
      </c>
      <c r="J71" s="115"/>
      <c r="K71" s="115"/>
      <c r="L71" s="115"/>
      <c r="M71" s="115"/>
      <c r="N71" s="115" t="s">
        <v>170</v>
      </c>
      <c r="O71" s="115" t="s">
        <v>870</v>
      </c>
      <c r="P71" s="115" t="s">
        <v>4</v>
      </c>
      <c r="Q71" s="115"/>
      <c r="R71" s="115">
        <v>6</v>
      </c>
      <c r="S71" s="116" t="str">
        <f t="shared" ref="S71:S102" si="14">TEXT(IF(W71="DISCO", M71, Q71),"")</f>
        <v/>
      </c>
      <c r="T71" s="117" t="s">
        <v>1072</v>
      </c>
      <c r="U71" s="115" t="s">
        <v>408</v>
      </c>
      <c r="V71" s="115" t="s">
        <v>408</v>
      </c>
      <c r="W71" s="115" t="s">
        <v>861</v>
      </c>
      <c r="X71" s="115" t="s">
        <v>1010</v>
      </c>
      <c r="Y71" s="118">
        <v>2</v>
      </c>
      <c r="Z71" s="118" t="b">
        <f t="shared" ref="Z71:Z102" si="15">Y71&gt;0</f>
        <v>1</v>
      </c>
      <c r="AA71" s="116" t="b">
        <f t="shared" ref="AA71:AA102" si="16">NOT(EXACT(I71,CTR_C))</f>
        <v>1</v>
      </c>
      <c r="AB71" s="116" t="b">
        <f t="shared" ref="AB71:AB102" si="17">NOT(EXACT(O71,D71))</f>
        <v>0</v>
      </c>
      <c r="AC71" s="116" t="b">
        <f t="shared" ref="AC71:AC102" si="18">NOT(EXACT(P71,E71))</f>
        <v>0</v>
      </c>
      <c r="AD71" s="116" t="b">
        <f t="shared" ref="AD71:AD102" si="19">NOT(EXACT(S71,F71))</f>
        <v>0</v>
      </c>
      <c r="AE71" s="116" t="b">
        <f t="shared" ref="AE71:AE102" si="20">NOT(EXACT(R71,G71))</f>
        <v>0</v>
      </c>
      <c r="AF71" s="116" t="s">
        <v>862</v>
      </c>
      <c r="AG71" s="116" t="s">
        <v>863</v>
      </c>
      <c r="AH71" s="116">
        <v>0.01</v>
      </c>
      <c r="AI71" s="116">
        <v>0.01</v>
      </c>
      <c r="AJ71" s="116"/>
      <c r="AK71" s="116"/>
      <c r="AL71" s="82"/>
      <c r="AM71" s="82"/>
      <c r="AN71" s="82"/>
      <c r="AO71" s="82"/>
      <c r="AP71" s="82"/>
    </row>
    <row r="72" spans="3:42" x14ac:dyDescent="0.25">
      <c r="C72" s="102" t="s">
        <v>942</v>
      </c>
      <c r="D72" s="102" t="s">
        <v>871</v>
      </c>
      <c r="E72" s="102" t="s">
        <v>3</v>
      </c>
      <c r="F72" s="102" t="s">
        <v>859</v>
      </c>
      <c r="G72" s="97">
        <v>6</v>
      </c>
      <c r="H72" s="115" t="s">
        <v>1008</v>
      </c>
      <c r="I72" s="115" t="s">
        <v>75</v>
      </c>
      <c r="J72" s="115"/>
      <c r="K72" s="115"/>
      <c r="L72" s="115"/>
      <c r="M72" s="115"/>
      <c r="N72" s="115" t="s">
        <v>150</v>
      </c>
      <c r="O72" s="115" t="s">
        <v>871</v>
      </c>
      <c r="P72" s="115" t="s">
        <v>3</v>
      </c>
      <c r="Q72" s="115"/>
      <c r="R72" s="115">
        <v>6</v>
      </c>
      <c r="S72" s="116" t="str">
        <f t="shared" si="14"/>
        <v/>
      </c>
      <c r="T72" s="117" t="s">
        <v>1073</v>
      </c>
      <c r="U72" s="115" t="s">
        <v>9</v>
      </c>
      <c r="V72" s="115" t="s">
        <v>378</v>
      </c>
      <c r="W72" s="115" t="s">
        <v>861</v>
      </c>
      <c r="X72" s="115" t="s">
        <v>1010</v>
      </c>
      <c r="Y72" s="118">
        <v>2</v>
      </c>
      <c r="Z72" s="118" t="b">
        <f t="shared" si="15"/>
        <v>1</v>
      </c>
      <c r="AA72" s="116" t="b">
        <f t="shared" si="16"/>
        <v>0</v>
      </c>
      <c r="AB72" s="116" t="b">
        <f t="shared" si="17"/>
        <v>0</v>
      </c>
      <c r="AC72" s="116" t="b">
        <f t="shared" si="18"/>
        <v>0</v>
      </c>
      <c r="AD72" s="116" t="b">
        <f t="shared" si="19"/>
        <v>0</v>
      </c>
      <c r="AE72" s="116" t="b">
        <f t="shared" si="20"/>
        <v>0</v>
      </c>
      <c r="AF72" s="116" t="s">
        <v>864</v>
      </c>
      <c r="AG72" s="116" t="s">
        <v>865</v>
      </c>
      <c r="AH72" s="116">
        <v>0</v>
      </c>
      <c r="AI72" s="116">
        <v>0</v>
      </c>
      <c r="AJ72" s="116" t="s">
        <v>1127</v>
      </c>
      <c r="AK72" s="116"/>
      <c r="AL72" s="82"/>
      <c r="AM72" s="82"/>
      <c r="AN72" s="82"/>
      <c r="AO72" s="82"/>
      <c r="AP72" s="82"/>
    </row>
    <row r="73" spans="3:42" x14ac:dyDescent="0.25">
      <c r="C73" s="102" t="s">
        <v>943</v>
      </c>
      <c r="D73" s="102" t="s">
        <v>870</v>
      </c>
      <c r="E73" s="102" t="s">
        <v>4</v>
      </c>
      <c r="F73" s="102" t="s">
        <v>859</v>
      </c>
      <c r="G73" s="97">
        <v>9</v>
      </c>
      <c r="H73" s="115" t="s">
        <v>1008</v>
      </c>
      <c r="I73" s="115" t="s">
        <v>47</v>
      </c>
      <c r="J73" s="115"/>
      <c r="K73" s="115"/>
      <c r="L73" s="115"/>
      <c r="M73" s="115"/>
      <c r="N73" s="115" t="s">
        <v>170</v>
      </c>
      <c r="O73" s="115" t="s">
        <v>870</v>
      </c>
      <c r="P73" s="115" t="s">
        <v>4</v>
      </c>
      <c r="Q73" s="115"/>
      <c r="R73" s="115">
        <v>9</v>
      </c>
      <c r="S73" s="116" t="str">
        <f t="shared" si="14"/>
        <v/>
      </c>
      <c r="T73" s="117" t="s">
        <v>1072</v>
      </c>
      <c r="U73" s="115" t="s">
        <v>408</v>
      </c>
      <c r="V73" s="115" t="s">
        <v>408</v>
      </c>
      <c r="W73" s="115" t="s">
        <v>861</v>
      </c>
      <c r="X73" s="115" t="s">
        <v>1010</v>
      </c>
      <c r="Y73" s="118">
        <v>2</v>
      </c>
      <c r="Z73" s="118" t="b">
        <f t="shared" si="15"/>
        <v>1</v>
      </c>
      <c r="AA73" s="116" t="b">
        <f t="shared" si="16"/>
        <v>1</v>
      </c>
      <c r="AB73" s="116" t="b">
        <f t="shared" si="17"/>
        <v>0</v>
      </c>
      <c r="AC73" s="116" t="b">
        <f t="shared" si="18"/>
        <v>0</v>
      </c>
      <c r="AD73" s="116" t="b">
        <f t="shared" si="19"/>
        <v>0</v>
      </c>
      <c r="AE73" s="116" t="b">
        <f t="shared" si="20"/>
        <v>0</v>
      </c>
      <c r="AF73" s="116" t="s">
        <v>862</v>
      </c>
      <c r="AG73" s="116" t="s">
        <v>863</v>
      </c>
      <c r="AH73" s="116">
        <v>0.01</v>
      </c>
      <c r="AI73" s="116">
        <v>0.01</v>
      </c>
      <c r="AJ73" s="116"/>
      <c r="AK73" s="116"/>
      <c r="AL73" s="82"/>
      <c r="AM73" s="82"/>
      <c r="AN73" s="82"/>
      <c r="AO73" s="82"/>
      <c r="AP73" s="82"/>
    </row>
    <row r="74" spans="3:42" x14ac:dyDescent="0.25">
      <c r="C74" s="102" t="s">
        <v>944</v>
      </c>
      <c r="D74" s="102" t="s">
        <v>871</v>
      </c>
      <c r="E74" s="102" t="s">
        <v>3</v>
      </c>
      <c r="F74" s="102" t="s">
        <v>859</v>
      </c>
      <c r="G74" s="97">
        <v>6</v>
      </c>
      <c r="H74" s="115" t="s">
        <v>1008</v>
      </c>
      <c r="I74" s="115" t="s">
        <v>47</v>
      </c>
      <c r="J74" s="115"/>
      <c r="K74" s="115"/>
      <c r="L74" s="115"/>
      <c r="M74" s="115"/>
      <c r="N74" s="115" t="s">
        <v>203</v>
      </c>
      <c r="O74" s="115" t="s">
        <v>871</v>
      </c>
      <c r="P74" s="115" t="s">
        <v>3</v>
      </c>
      <c r="Q74" s="115"/>
      <c r="R74" s="115">
        <v>6</v>
      </c>
      <c r="S74" s="116" t="str">
        <f t="shared" si="14"/>
        <v/>
      </c>
      <c r="T74" s="117" t="s">
        <v>1074</v>
      </c>
      <c r="U74" s="115" t="s">
        <v>357</v>
      </c>
      <c r="V74" s="115" t="s">
        <v>10</v>
      </c>
      <c r="W74" s="115" t="s">
        <v>861</v>
      </c>
      <c r="X74" s="115" t="s">
        <v>1010</v>
      </c>
      <c r="Y74" s="118">
        <v>1</v>
      </c>
      <c r="Z74" s="118" t="b">
        <f t="shared" si="15"/>
        <v>1</v>
      </c>
      <c r="AA74" s="116" t="b">
        <f t="shared" si="16"/>
        <v>1</v>
      </c>
      <c r="AB74" s="116" t="b">
        <f t="shared" si="17"/>
        <v>0</v>
      </c>
      <c r="AC74" s="116" t="b">
        <f t="shared" si="18"/>
        <v>0</v>
      </c>
      <c r="AD74" s="116" t="b">
        <f t="shared" si="19"/>
        <v>0</v>
      </c>
      <c r="AE74" s="116" t="b">
        <f t="shared" si="20"/>
        <v>0</v>
      </c>
      <c r="AF74" s="116" t="s">
        <v>862</v>
      </c>
      <c r="AG74" s="116" t="s">
        <v>863</v>
      </c>
      <c r="AH74" s="116">
        <v>0.01</v>
      </c>
      <c r="AI74" s="116">
        <v>0.01</v>
      </c>
      <c r="AJ74" s="116"/>
      <c r="AK74" s="116"/>
      <c r="AL74" s="82"/>
      <c r="AM74" s="82"/>
      <c r="AN74" s="82"/>
      <c r="AO74" s="82"/>
      <c r="AP74" s="82"/>
    </row>
    <row r="75" spans="3:42" x14ac:dyDescent="0.25">
      <c r="C75" s="102" t="s">
        <v>945</v>
      </c>
      <c r="D75" s="102" t="s">
        <v>870</v>
      </c>
      <c r="E75" s="102" t="s">
        <v>4</v>
      </c>
      <c r="F75" s="102" t="s">
        <v>859</v>
      </c>
      <c r="G75" s="97">
        <v>9</v>
      </c>
      <c r="H75" s="115" t="s">
        <v>1008</v>
      </c>
      <c r="I75" s="115" t="s">
        <v>75</v>
      </c>
      <c r="J75" s="115"/>
      <c r="K75" s="115"/>
      <c r="L75" s="115"/>
      <c r="M75" s="115"/>
      <c r="N75" s="115" t="s">
        <v>150</v>
      </c>
      <c r="O75" s="115" t="s">
        <v>871</v>
      </c>
      <c r="P75" s="115" t="s">
        <v>3</v>
      </c>
      <c r="Q75" s="115"/>
      <c r="R75" s="115">
        <v>9</v>
      </c>
      <c r="S75" s="116" t="str">
        <f t="shared" si="14"/>
        <v/>
      </c>
      <c r="T75" s="117" t="s">
        <v>1075</v>
      </c>
      <c r="U75" s="115" t="s">
        <v>347</v>
      </c>
      <c r="V75" s="115" t="s">
        <v>11</v>
      </c>
      <c r="W75" s="115" t="s">
        <v>861</v>
      </c>
      <c r="X75" s="115" t="s">
        <v>1062</v>
      </c>
      <c r="Y75" s="118">
        <v>0</v>
      </c>
      <c r="Z75" s="118" t="b">
        <f t="shared" si="15"/>
        <v>0</v>
      </c>
      <c r="AA75" s="116" t="b">
        <f t="shared" si="16"/>
        <v>0</v>
      </c>
      <c r="AB75" s="116" t="b">
        <f t="shared" si="17"/>
        <v>1</v>
      </c>
      <c r="AC75" s="116" t="b">
        <f t="shared" si="18"/>
        <v>1</v>
      </c>
      <c r="AD75" s="116" t="b">
        <f t="shared" si="19"/>
        <v>0</v>
      </c>
      <c r="AE75" s="116" t="b">
        <f t="shared" si="20"/>
        <v>0</v>
      </c>
      <c r="AF75" s="116" t="s">
        <v>864</v>
      </c>
      <c r="AG75" s="116" t="s">
        <v>865</v>
      </c>
      <c r="AH75" s="116">
        <v>0</v>
      </c>
      <c r="AI75" s="116">
        <v>0</v>
      </c>
      <c r="AJ75" s="116" t="s">
        <v>1127</v>
      </c>
      <c r="AK75" s="116"/>
      <c r="AL75" s="82"/>
      <c r="AM75" s="82"/>
      <c r="AN75" s="82"/>
      <c r="AO75" s="82"/>
      <c r="AP75" s="82"/>
    </row>
    <row r="76" spans="3:42" x14ac:dyDescent="0.25">
      <c r="C76" s="102" t="s">
        <v>946</v>
      </c>
      <c r="D76" s="102" t="s">
        <v>870</v>
      </c>
      <c r="E76" s="102" t="s">
        <v>4</v>
      </c>
      <c r="F76" s="102" t="s">
        <v>859</v>
      </c>
      <c r="G76" s="97">
        <v>6</v>
      </c>
      <c r="H76" s="115" t="s">
        <v>1008</v>
      </c>
      <c r="I76" s="115" t="s">
        <v>47</v>
      </c>
      <c r="J76" s="115"/>
      <c r="K76" s="115"/>
      <c r="L76" s="115"/>
      <c r="M76" s="115"/>
      <c r="N76" s="115" t="s">
        <v>170</v>
      </c>
      <c r="O76" s="115" t="s">
        <v>870</v>
      </c>
      <c r="P76" s="115" t="s">
        <v>4</v>
      </c>
      <c r="Q76" s="115"/>
      <c r="R76" s="115">
        <v>6</v>
      </c>
      <c r="S76" s="116" t="str">
        <f t="shared" si="14"/>
        <v/>
      </c>
      <c r="T76" s="117" t="s">
        <v>1076</v>
      </c>
      <c r="U76" s="115" t="s">
        <v>347</v>
      </c>
      <c r="V76" s="115" t="s">
        <v>11</v>
      </c>
      <c r="W76" s="115" t="s">
        <v>861</v>
      </c>
      <c r="X76" s="115" t="s">
        <v>1010</v>
      </c>
      <c r="Y76" s="118">
        <v>2</v>
      </c>
      <c r="Z76" s="118" t="b">
        <f t="shared" si="15"/>
        <v>1</v>
      </c>
      <c r="AA76" s="116" t="b">
        <f t="shared" si="16"/>
        <v>1</v>
      </c>
      <c r="AB76" s="116" t="b">
        <f t="shared" si="17"/>
        <v>0</v>
      </c>
      <c r="AC76" s="116" t="b">
        <f t="shared" si="18"/>
        <v>0</v>
      </c>
      <c r="AD76" s="116" t="b">
        <f t="shared" si="19"/>
        <v>0</v>
      </c>
      <c r="AE76" s="116" t="b">
        <f t="shared" si="20"/>
        <v>0</v>
      </c>
      <c r="AF76" s="116" t="s">
        <v>862</v>
      </c>
      <c r="AG76" s="116" t="s">
        <v>863</v>
      </c>
      <c r="AH76" s="116">
        <v>0.01</v>
      </c>
      <c r="AI76" s="116">
        <v>0.01</v>
      </c>
      <c r="AJ76" s="116"/>
      <c r="AK76" s="116"/>
      <c r="AL76" s="82"/>
      <c r="AM76" s="82"/>
      <c r="AN76" s="82"/>
      <c r="AO76" s="82"/>
      <c r="AP76" s="82"/>
    </row>
    <row r="77" spans="3:42" x14ac:dyDescent="0.25">
      <c r="C77" s="102" t="s">
        <v>947</v>
      </c>
      <c r="D77" s="102" t="s">
        <v>870</v>
      </c>
      <c r="E77" s="102" t="s">
        <v>4</v>
      </c>
      <c r="F77" s="102" t="s">
        <v>859</v>
      </c>
      <c r="G77" s="97">
        <v>6</v>
      </c>
      <c r="H77" s="115" t="s">
        <v>1008</v>
      </c>
      <c r="I77" s="115" t="s">
        <v>75</v>
      </c>
      <c r="J77" s="115"/>
      <c r="K77" s="115"/>
      <c r="L77" s="115"/>
      <c r="M77" s="115"/>
      <c r="N77" s="115" t="s">
        <v>155</v>
      </c>
      <c r="O77" s="115" t="s">
        <v>870</v>
      </c>
      <c r="P77" s="115" t="s">
        <v>4</v>
      </c>
      <c r="Q77" s="115"/>
      <c r="R77" s="115">
        <v>6</v>
      </c>
      <c r="S77" s="116" t="str">
        <f t="shared" si="14"/>
        <v/>
      </c>
      <c r="T77" s="117" t="s">
        <v>1077</v>
      </c>
      <c r="U77" s="115" t="s">
        <v>347</v>
      </c>
      <c r="V77" s="115" t="s">
        <v>11</v>
      </c>
      <c r="W77" s="115" t="s">
        <v>861</v>
      </c>
      <c r="X77" s="115" t="s">
        <v>1010</v>
      </c>
      <c r="Y77" s="118">
        <v>2</v>
      </c>
      <c r="Z77" s="118" t="b">
        <f t="shared" si="15"/>
        <v>1</v>
      </c>
      <c r="AA77" s="116" t="b">
        <f t="shared" si="16"/>
        <v>0</v>
      </c>
      <c r="AB77" s="116" t="b">
        <f t="shared" si="17"/>
        <v>0</v>
      </c>
      <c r="AC77" s="116" t="b">
        <f t="shared" si="18"/>
        <v>0</v>
      </c>
      <c r="AD77" s="116" t="b">
        <f t="shared" si="19"/>
        <v>0</v>
      </c>
      <c r="AE77" s="116" t="b">
        <f t="shared" si="20"/>
        <v>0</v>
      </c>
      <c r="AF77" s="116" t="s">
        <v>864</v>
      </c>
      <c r="AG77" s="116" t="s">
        <v>865</v>
      </c>
      <c r="AH77" s="116">
        <v>0</v>
      </c>
      <c r="AI77" s="116">
        <v>0</v>
      </c>
      <c r="AJ77" s="116" t="s">
        <v>1127</v>
      </c>
      <c r="AK77" s="116"/>
      <c r="AL77" s="82"/>
      <c r="AM77" s="82"/>
      <c r="AN77" s="82"/>
      <c r="AO77" s="82"/>
      <c r="AP77" s="82"/>
    </row>
    <row r="78" spans="3:42" x14ac:dyDescent="0.25">
      <c r="C78" s="102" t="s">
        <v>948</v>
      </c>
      <c r="D78" s="102" t="s">
        <v>870</v>
      </c>
      <c r="E78" s="102" t="s">
        <v>4</v>
      </c>
      <c r="F78" s="102" t="s">
        <v>859</v>
      </c>
      <c r="G78" s="97">
        <v>6</v>
      </c>
      <c r="H78" s="115" t="s">
        <v>1008</v>
      </c>
      <c r="I78" s="115" t="s">
        <v>1</v>
      </c>
      <c r="J78" s="115"/>
      <c r="K78" s="115"/>
      <c r="L78" s="115"/>
      <c r="M78" s="115"/>
      <c r="N78" s="115" t="s">
        <v>87</v>
      </c>
      <c r="O78" s="115" t="s">
        <v>870</v>
      </c>
      <c r="P78" s="115" t="s">
        <v>4</v>
      </c>
      <c r="Q78" s="115"/>
      <c r="R78" s="115">
        <v>6</v>
      </c>
      <c r="S78" s="116" t="str">
        <f t="shared" si="14"/>
        <v/>
      </c>
      <c r="T78" s="117" t="s">
        <v>1078</v>
      </c>
      <c r="U78" s="115" t="s">
        <v>345</v>
      </c>
      <c r="V78" s="115" t="s">
        <v>11</v>
      </c>
      <c r="W78" s="115" t="s">
        <v>861</v>
      </c>
      <c r="X78" s="115" t="s">
        <v>1010</v>
      </c>
      <c r="Y78" s="118">
        <v>2</v>
      </c>
      <c r="Z78" s="118" t="b">
        <f t="shared" si="15"/>
        <v>1</v>
      </c>
      <c r="AA78" s="116" t="b">
        <f t="shared" si="16"/>
        <v>1</v>
      </c>
      <c r="AB78" s="116" t="b">
        <f t="shared" si="17"/>
        <v>0</v>
      </c>
      <c r="AC78" s="116" t="b">
        <f t="shared" si="18"/>
        <v>0</v>
      </c>
      <c r="AD78" s="116" t="b">
        <f t="shared" si="19"/>
        <v>0</v>
      </c>
      <c r="AE78" s="116" t="b">
        <f t="shared" si="20"/>
        <v>0</v>
      </c>
      <c r="AF78" s="116" t="s">
        <v>862</v>
      </c>
      <c r="AG78" s="116" t="s">
        <v>863</v>
      </c>
      <c r="AH78" s="116">
        <v>0.01</v>
      </c>
      <c r="AI78" s="116">
        <v>0.01</v>
      </c>
      <c r="AJ78" s="116"/>
      <c r="AK78" s="116"/>
      <c r="AL78" s="82"/>
      <c r="AM78" s="82"/>
      <c r="AN78" s="82"/>
      <c r="AO78" s="82"/>
      <c r="AP78" s="82"/>
    </row>
    <row r="79" spans="3:42" x14ac:dyDescent="0.25">
      <c r="C79" s="102" t="s">
        <v>949</v>
      </c>
      <c r="D79" s="102" t="s">
        <v>870</v>
      </c>
      <c r="E79" s="102" t="s">
        <v>4</v>
      </c>
      <c r="F79" s="102" t="s">
        <v>859</v>
      </c>
      <c r="G79" s="97">
        <v>9</v>
      </c>
      <c r="H79" s="115" t="s">
        <v>1008</v>
      </c>
      <c r="I79" s="115" t="s">
        <v>75</v>
      </c>
      <c r="J79" s="115"/>
      <c r="K79" s="115"/>
      <c r="L79" s="115"/>
      <c r="M79" s="115"/>
      <c r="N79" s="115" t="s">
        <v>155</v>
      </c>
      <c r="O79" s="115" t="s">
        <v>870</v>
      </c>
      <c r="P79" s="115" t="s">
        <v>4</v>
      </c>
      <c r="Q79" s="115"/>
      <c r="R79" s="115">
        <v>9</v>
      </c>
      <c r="S79" s="116" t="str">
        <f t="shared" si="14"/>
        <v/>
      </c>
      <c r="T79" s="117" t="s">
        <v>1079</v>
      </c>
      <c r="U79" s="115" t="s">
        <v>408</v>
      </c>
      <c r="V79" s="115" t="s">
        <v>408</v>
      </c>
      <c r="W79" s="115" t="s">
        <v>861</v>
      </c>
      <c r="X79" s="115" t="s">
        <v>1010</v>
      </c>
      <c r="Y79" s="118">
        <v>2</v>
      </c>
      <c r="Z79" s="118" t="b">
        <f t="shared" si="15"/>
        <v>1</v>
      </c>
      <c r="AA79" s="116" t="b">
        <f t="shared" si="16"/>
        <v>0</v>
      </c>
      <c r="AB79" s="116" t="b">
        <f t="shared" si="17"/>
        <v>0</v>
      </c>
      <c r="AC79" s="116" t="b">
        <f t="shared" si="18"/>
        <v>0</v>
      </c>
      <c r="AD79" s="116" t="b">
        <f t="shared" si="19"/>
        <v>0</v>
      </c>
      <c r="AE79" s="116" t="b">
        <f t="shared" si="20"/>
        <v>0</v>
      </c>
      <c r="AF79" s="116" t="s">
        <v>864</v>
      </c>
      <c r="AG79" s="116" t="s">
        <v>865</v>
      </c>
      <c r="AH79" s="116">
        <v>0</v>
      </c>
      <c r="AI79" s="116">
        <v>0</v>
      </c>
      <c r="AJ79" s="116" t="s">
        <v>1127</v>
      </c>
      <c r="AK79" s="116"/>
      <c r="AL79" s="82"/>
      <c r="AM79" s="82"/>
      <c r="AN79" s="82"/>
      <c r="AO79" s="82"/>
      <c r="AP79" s="82"/>
    </row>
    <row r="80" spans="3:42" x14ac:dyDescent="0.25">
      <c r="C80" s="102" t="s">
        <v>950</v>
      </c>
      <c r="D80" s="102" t="s">
        <v>871</v>
      </c>
      <c r="E80" s="102" t="s">
        <v>3</v>
      </c>
      <c r="F80" s="102" t="s">
        <v>859</v>
      </c>
      <c r="G80" s="97">
        <v>9</v>
      </c>
      <c r="H80" s="115" t="s">
        <v>1008</v>
      </c>
      <c r="I80" s="115" t="s">
        <v>75</v>
      </c>
      <c r="J80" s="115"/>
      <c r="K80" s="115"/>
      <c r="L80" s="115"/>
      <c r="M80" s="115"/>
      <c r="N80" s="115" t="s">
        <v>150</v>
      </c>
      <c r="O80" s="115" t="s">
        <v>871</v>
      </c>
      <c r="P80" s="115" t="s">
        <v>3</v>
      </c>
      <c r="Q80" s="115"/>
      <c r="R80" s="115">
        <v>9</v>
      </c>
      <c r="S80" s="116" t="str">
        <f t="shared" si="14"/>
        <v/>
      </c>
      <c r="T80" s="117" t="s">
        <v>1080</v>
      </c>
      <c r="U80" s="115" t="s">
        <v>408</v>
      </c>
      <c r="V80" s="115" t="s">
        <v>408</v>
      </c>
      <c r="W80" s="115" t="s">
        <v>861</v>
      </c>
      <c r="X80" s="115" t="s">
        <v>1010</v>
      </c>
      <c r="Y80" s="118">
        <v>2</v>
      </c>
      <c r="Z80" s="118" t="b">
        <f t="shared" si="15"/>
        <v>1</v>
      </c>
      <c r="AA80" s="116" t="b">
        <f t="shared" si="16"/>
        <v>0</v>
      </c>
      <c r="AB80" s="116" t="b">
        <f t="shared" si="17"/>
        <v>0</v>
      </c>
      <c r="AC80" s="116" t="b">
        <f t="shared" si="18"/>
        <v>0</v>
      </c>
      <c r="AD80" s="116" t="b">
        <f t="shared" si="19"/>
        <v>0</v>
      </c>
      <c r="AE80" s="116" t="b">
        <f t="shared" si="20"/>
        <v>0</v>
      </c>
      <c r="AF80" s="116" t="s">
        <v>864</v>
      </c>
      <c r="AG80" s="116" t="s">
        <v>865</v>
      </c>
      <c r="AH80" s="116">
        <v>0</v>
      </c>
      <c r="AI80" s="116">
        <v>0</v>
      </c>
      <c r="AJ80" s="116" t="s">
        <v>1127</v>
      </c>
      <c r="AK80" s="116"/>
      <c r="AL80" s="82"/>
      <c r="AM80" s="82"/>
      <c r="AN80" s="82"/>
      <c r="AO80" s="82"/>
      <c r="AP80" s="82"/>
    </row>
    <row r="81" spans="3:42" x14ac:dyDescent="0.25">
      <c r="C81" s="102" t="s">
        <v>951</v>
      </c>
      <c r="D81" s="102" t="s">
        <v>870</v>
      </c>
      <c r="E81" s="102" t="s">
        <v>4</v>
      </c>
      <c r="F81" s="102" t="s">
        <v>859</v>
      </c>
      <c r="G81" s="97">
        <v>6</v>
      </c>
      <c r="H81" s="115" t="s">
        <v>1008</v>
      </c>
      <c r="I81" s="115" t="s">
        <v>75</v>
      </c>
      <c r="J81" s="115"/>
      <c r="K81" s="115"/>
      <c r="L81" s="115"/>
      <c r="M81" s="115"/>
      <c r="N81" s="115" t="s">
        <v>155</v>
      </c>
      <c r="O81" s="115" t="s">
        <v>870</v>
      </c>
      <c r="P81" s="115" t="s">
        <v>4</v>
      </c>
      <c r="Q81" s="115"/>
      <c r="R81" s="115">
        <v>6</v>
      </c>
      <c r="S81" s="116" t="str">
        <f t="shared" si="14"/>
        <v/>
      </c>
      <c r="T81" s="117" t="s">
        <v>1081</v>
      </c>
      <c r="U81" s="115" t="s">
        <v>356</v>
      </c>
      <c r="V81" s="115" t="s">
        <v>10</v>
      </c>
      <c r="W81" s="115" t="s">
        <v>861</v>
      </c>
      <c r="X81" s="115" t="s">
        <v>1010</v>
      </c>
      <c r="Y81" s="118">
        <v>2</v>
      </c>
      <c r="Z81" s="118" t="b">
        <f t="shared" si="15"/>
        <v>1</v>
      </c>
      <c r="AA81" s="116" t="b">
        <f t="shared" si="16"/>
        <v>0</v>
      </c>
      <c r="AB81" s="116" t="b">
        <f t="shared" si="17"/>
        <v>0</v>
      </c>
      <c r="AC81" s="116" t="b">
        <f t="shared" si="18"/>
        <v>0</v>
      </c>
      <c r="AD81" s="116" t="b">
        <f t="shared" si="19"/>
        <v>0</v>
      </c>
      <c r="AE81" s="116" t="b">
        <f t="shared" si="20"/>
        <v>0</v>
      </c>
      <c r="AF81" s="116" t="s">
        <v>864</v>
      </c>
      <c r="AG81" s="116" t="s">
        <v>865</v>
      </c>
      <c r="AH81" s="116">
        <v>0</v>
      </c>
      <c r="AI81" s="116">
        <v>0</v>
      </c>
      <c r="AJ81" s="116" t="s">
        <v>1127</v>
      </c>
      <c r="AK81" s="116"/>
      <c r="AL81" s="82"/>
      <c r="AM81" s="82"/>
      <c r="AN81" s="82"/>
      <c r="AO81" s="82"/>
      <c r="AP81" s="82"/>
    </row>
    <row r="82" spans="3:42" x14ac:dyDescent="0.25">
      <c r="C82" s="102" t="s">
        <v>952</v>
      </c>
      <c r="D82" s="102" t="s">
        <v>870</v>
      </c>
      <c r="E82" s="102" t="s">
        <v>4</v>
      </c>
      <c r="F82" s="102" t="s">
        <v>859</v>
      </c>
      <c r="G82" s="97">
        <v>12</v>
      </c>
      <c r="H82" s="115" t="s">
        <v>1008</v>
      </c>
      <c r="I82" s="115" t="s">
        <v>75</v>
      </c>
      <c r="J82" s="115"/>
      <c r="K82" s="115"/>
      <c r="L82" s="115"/>
      <c r="M82" s="115"/>
      <c r="N82" s="115" t="s">
        <v>155</v>
      </c>
      <c r="O82" s="115" t="s">
        <v>870</v>
      </c>
      <c r="P82" s="115" t="s">
        <v>4</v>
      </c>
      <c r="Q82" s="115"/>
      <c r="R82" s="115">
        <v>12</v>
      </c>
      <c r="S82" s="116" t="str">
        <f t="shared" si="14"/>
        <v/>
      </c>
      <c r="T82" s="117" t="s">
        <v>1082</v>
      </c>
      <c r="U82" s="115" t="s">
        <v>408</v>
      </c>
      <c r="V82" s="115" t="s">
        <v>408</v>
      </c>
      <c r="W82" s="115" t="s">
        <v>861</v>
      </c>
      <c r="X82" s="115" t="s">
        <v>1010</v>
      </c>
      <c r="Y82" s="118">
        <v>2</v>
      </c>
      <c r="Z82" s="118" t="b">
        <f t="shared" si="15"/>
        <v>1</v>
      </c>
      <c r="AA82" s="116" t="b">
        <f t="shared" si="16"/>
        <v>0</v>
      </c>
      <c r="AB82" s="116" t="b">
        <f t="shared" si="17"/>
        <v>0</v>
      </c>
      <c r="AC82" s="116" t="b">
        <f t="shared" si="18"/>
        <v>0</v>
      </c>
      <c r="AD82" s="116" t="b">
        <f t="shared" si="19"/>
        <v>0</v>
      </c>
      <c r="AE82" s="116" t="b">
        <f t="shared" si="20"/>
        <v>0</v>
      </c>
      <c r="AF82" s="116" t="s">
        <v>864</v>
      </c>
      <c r="AG82" s="116" t="s">
        <v>865</v>
      </c>
      <c r="AH82" s="116">
        <v>0</v>
      </c>
      <c r="AI82" s="116">
        <v>0</v>
      </c>
      <c r="AJ82" s="116" t="s">
        <v>1127</v>
      </c>
      <c r="AK82" s="116"/>
      <c r="AL82" s="82"/>
      <c r="AM82" s="82"/>
      <c r="AN82" s="82"/>
      <c r="AO82" s="82"/>
      <c r="AP82" s="82"/>
    </row>
    <row r="83" spans="3:42" x14ac:dyDescent="0.25">
      <c r="C83" s="102" t="s">
        <v>953</v>
      </c>
      <c r="D83" s="102" t="s">
        <v>870</v>
      </c>
      <c r="E83" s="102" t="s">
        <v>4</v>
      </c>
      <c r="F83" s="102" t="s">
        <v>859</v>
      </c>
      <c r="G83" s="97">
        <v>9</v>
      </c>
      <c r="H83" s="115" t="s">
        <v>1008</v>
      </c>
      <c r="I83" s="115" t="s">
        <v>236</v>
      </c>
      <c r="J83" s="115"/>
      <c r="K83" s="115"/>
      <c r="L83" s="115"/>
      <c r="M83" s="115"/>
      <c r="N83" s="115" t="s">
        <v>85</v>
      </c>
      <c r="O83" s="115" t="s">
        <v>870</v>
      </c>
      <c r="P83" s="115" t="s">
        <v>4</v>
      </c>
      <c r="Q83" s="115"/>
      <c r="R83" s="115">
        <v>9</v>
      </c>
      <c r="S83" s="116" t="str">
        <f t="shared" si="14"/>
        <v/>
      </c>
      <c r="T83" s="117" t="s">
        <v>1083</v>
      </c>
      <c r="U83" s="115" t="s">
        <v>347</v>
      </c>
      <c r="V83" s="115" t="s">
        <v>11</v>
      </c>
      <c r="W83" s="115" t="s">
        <v>861</v>
      </c>
      <c r="X83" s="115" t="s">
        <v>1010</v>
      </c>
      <c r="Y83" s="118">
        <v>2</v>
      </c>
      <c r="Z83" s="118" t="b">
        <f t="shared" si="15"/>
        <v>1</v>
      </c>
      <c r="AA83" s="116" t="b">
        <f t="shared" si="16"/>
        <v>1</v>
      </c>
      <c r="AB83" s="116" t="b">
        <f t="shared" si="17"/>
        <v>0</v>
      </c>
      <c r="AC83" s="116" t="b">
        <f t="shared" si="18"/>
        <v>0</v>
      </c>
      <c r="AD83" s="116" t="b">
        <f t="shared" si="19"/>
        <v>0</v>
      </c>
      <c r="AE83" s="116" t="b">
        <f t="shared" si="20"/>
        <v>0</v>
      </c>
      <c r="AF83" s="116" t="s">
        <v>862</v>
      </c>
      <c r="AG83" s="116" t="s">
        <v>863</v>
      </c>
      <c r="AH83" s="116">
        <v>0.01</v>
      </c>
      <c r="AI83" s="116">
        <v>0.01</v>
      </c>
      <c r="AJ83" s="116"/>
      <c r="AK83" s="116"/>
      <c r="AL83" s="82"/>
      <c r="AM83" s="82"/>
      <c r="AN83" s="82"/>
      <c r="AO83" s="82"/>
      <c r="AP83" s="82"/>
    </row>
    <row r="84" spans="3:42" x14ac:dyDescent="0.25">
      <c r="C84" s="102" t="s">
        <v>954</v>
      </c>
      <c r="D84" s="102" t="s">
        <v>870</v>
      </c>
      <c r="E84" s="102" t="s">
        <v>4</v>
      </c>
      <c r="F84" s="102" t="s">
        <v>859</v>
      </c>
      <c r="G84" s="97">
        <v>6</v>
      </c>
      <c r="H84" s="115" t="s">
        <v>1008</v>
      </c>
      <c r="I84" s="115" t="s">
        <v>75</v>
      </c>
      <c r="J84" s="115"/>
      <c r="K84" s="115"/>
      <c r="L84" s="115"/>
      <c r="M84" s="115"/>
      <c r="N84" s="115" t="s">
        <v>155</v>
      </c>
      <c r="O84" s="115" t="s">
        <v>870</v>
      </c>
      <c r="P84" s="115" t="s">
        <v>4</v>
      </c>
      <c r="Q84" s="115"/>
      <c r="R84" s="115">
        <v>6</v>
      </c>
      <c r="S84" s="116" t="str">
        <f t="shared" si="14"/>
        <v/>
      </c>
      <c r="T84" s="117" t="s">
        <v>1084</v>
      </c>
      <c r="U84" s="115" t="s">
        <v>345</v>
      </c>
      <c r="V84" s="115" t="s">
        <v>11</v>
      </c>
      <c r="W84" s="115" t="s">
        <v>861</v>
      </c>
      <c r="X84" s="115" t="s">
        <v>1010</v>
      </c>
      <c r="Y84" s="118">
        <v>2</v>
      </c>
      <c r="Z84" s="118" t="b">
        <f t="shared" si="15"/>
        <v>1</v>
      </c>
      <c r="AA84" s="116" t="b">
        <f t="shared" si="16"/>
        <v>0</v>
      </c>
      <c r="AB84" s="116" t="b">
        <f t="shared" si="17"/>
        <v>0</v>
      </c>
      <c r="AC84" s="116" t="b">
        <f t="shared" si="18"/>
        <v>0</v>
      </c>
      <c r="AD84" s="116" t="b">
        <f t="shared" si="19"/>
        <v>0</v>
      </c>
      <c r="AE84" s="116" t="b">
        <f t="shared" si="20"/>
        <v>0</v>
      </c>
      <c r="AF84" s="116" t="s">
        <v>864</v>
      </c>
      <c r="AG84" s="116" t="s">
        <v>865</v>
      </c>
      <c r="AH84" s="116">
        <v>0</v>
      </c>
      <c r="AI84" s="116">
        <v>0</v>
      </c>
      <c r="AJ84" s="116" t="s">
        <v>1127</v>
      </c>
      <c r="AK84" s="116"/>
      <c r="AL84" s="82"/>
      <c r="AM84" s="82"/>
      <c r="AN84" s="82"/>
      <c r="AO84" s="82"/>
      <c r="AP84" s="82"/>
    </row>
    <row r="85" spans="3:42" x14ac:dyDescent="0.25">
      <c r="C85" s="102" t="s">
        <v>955</v>
      </c>
      <c r="D85" s="102" t="s">
        <v>871</v>
      </c>
      <c r="E85" s="102" t="s">
        <v>4</v>
      </c>
      <c r="F85" s="102" t="s">
        <v>859</v>
      </c>
      <c r="G85" s="97">
        <v>12</v>
      </c>
      <c r="H85" s="115" t="s">
        <v>1008</v>
      </c>
      <c r="I85" s="115" t="s">
        <v>1</v>
      </c>
      <c r="J85" s="115"/>
      <c r="K85" s="115"/>
      <c r="L85" s="115"/>
      <c r="M85" s="115"/>
      <c r="N85" s="115" t="s">
        <v>90</v>
      </c>
      <c r="O85" s="115" t="s">
        <v>871</v>
      </c>
      <c r="P85" s="115" t="s">
        <v>3</v>
      </c>
      <c r="Q85" s="115"/>
      <c r="R85" s="115">
        <v>12</v>
      </c>
      <c r="S85" s="116" t="str">
        <f t="shared" si="14"/>
        <v/>
      </c>
      <c r="T85" s="117" t="s">
        <v>1085</v>
      </c>
      <c r="U85" s="115" t="s">
        <v>411</v>
      </c>
      <c r="V85" s="115" t="s">
        <v>412</v>
      </c>
      <c r="W85" s="115" t="s">
        <v>861</v>
      </c>
      <c r="X85" s="115" t="s">
        <v>1010</v>
      </c>
      <c r="Y85" s="118">
        <v>2</v>
      </c>
      <c r="Z85" s="118" t="b">
        <f t="shared" si="15"/>
        <v>1</v>
      </c>
      <c r="AA85" s="116" t="b">
        <f t="shared" si="16"/>
        <v>1</v>
      </c>
      <c r="AB85" s="116" t="b">
        <f t="shared" si="17"/>
        <v>0</v>
      </c>
      <c r="AC85" s="116" t="b">
        <f t="shared" si="18"/>
        <v>1</v>
      </c>
      <c r="AD85" s="116" t="b">
        <f t="shared" si="19"/>
        <v>0</v>
      </c>
      <c r="AE85" s="116" t="b">
        <f t="shared" si="20"/>
        <v>0</v>
      </c>
      <c r="AF85" s="116" t="s">
        <v>862</v>
      </c>
      <c r="AG85" s="116" t="s">
        <v>863</v>
      </c>
      <c r="AH85" s="116">
        <v>0.01</v>
      </c>
      <c r="AI85" s="116">
        <v>0.01</v>
      </c>
      <c r="AJ85" s="116"/>
      <c r="AK85" s="116"/>
      <c r="AL85" s="82"/>
      <c r="AM85" s="82"/>
      <c r="AN85" s="82"/>
      <c r="AO85" s="82"/>
      <c r="AP85" s="82"/>
    </row>
    <row r="86" spans="3:42" x14ac:dyDescent="0.25">
      <c r="C86" s="102" t="s">
        <v>956</v>
      </c>
      <c r="D86" s="102" t="s">
        <v>870</v>
      </c>
      <c r="E86" s="102" t="s">
        <v>4</v>
      </c>
      <c r="F86" s="102" t="s">
        <v>859</v>
      </c>
      <c r="G86" s="97">
        <v>6</v>
      </c>
      <c r="H86" s="115" t="s">
        <v>1008</v>
      </c>
      <c r="I86" s="115" t="s">
        <v>75</v>
      </c>
      <c r="J86" s="115"/>
      <c r="K86" s="115"/>
      <c r="L86" s="115"/>
      <c r="M86" s="115"/>
      <c r="N86" s="115" t="s">
        <v>155</v>
      </c>
      <c r="O86" s="115" t="s">
        <v>870</v>
      </c>
      <c r="P86" s="115" t="s">
        <v>4</v>
      </c>
      <c r="Q86" s="115"/>
      <c r="R86" s="115">
        <v>6</v>
      </c>
      <c r="S86" s="116" t="str">
        <f t="shared" si="14"/>
        <v/>
      </c>
      <c r="T86" s="117" t="s">
        <v>1027</v>
      </c>
      <c r="U86" s="115" t="s">
        <v>411</v>
      </c>
      <c r="V86" s="115" t="s">
        <v>412</v>
      </c>
      <c r="W86" s="115" t="s">
        <v>861</v>
      </c>
      <c r="X86" s="115" t="s">
        <v>1010</v>
      </c>
      <c r="Y86" s="118">
        <v>2</v>
      </c>
      <c r="Z86" s="118" t="b">
        <f t="shared" si="15"/>
        <v>1</v>
      </c>
      <c r="AA86" s="116" t="b">
        <f t="shared" si="16"/>
        <v>0</v>
      </c>
      <c r="AB86" s="116" t="b">
        <f t="shared" si="17"/>
        <v>0</v>
      </c>
      <c r="AC86" s="116" t="b">
        <f t="shared" si="18"/>
        <v>0</v>
      </c>
      <c r="AD86" s="116" t="b">
        <f t="shared" si="19"/>
        <v>0</v>
      </c>
      <c r="AE86" s="116" t="b">
        <f t="shared" si="20"/>
        <v>0</v>
      </c>
      <c r="AF86" s="116" t="s">
        <v>864</v>
      </c>
      <c r="AG86" s="116" t="s">
        <v>865</v>
      </c>
      <c r="AH86" s="116">
        <v>0</v>
      </c>
      <c r="AI86" s="116">
        <v>0</v>
      </c>
      <c r="AJ86" s="116" t="s">
        <v>1127</v>
      </c>
      <c r="AK86" s="116"/>
      <c r="AL86" s="82"/>
      <c r="AM86" s="82"/>
      <c r="AN86" s="82"/>
      <c r="AO86" s="82"/>
      <c r="AP86" s="82"/>
    </row>
    <row r="87" spans="3:42" x14ac:dyDescent="0.25">
      <c r="C87" s="102" t="s">
        <v>957</v>
      </c>
      <c r="D87" s="102" t="s">
        <v>871</v>
      </c>
      <c r="E87" s="102" t="s">
        <v>4</v>
      </c>
      <c r="F87" s="102" t="s">
        <v>859</v>
      </c>
      <c r="G87" s="97">
        <v>15</v>
      </c>
      <c r="H87" s="115" t="s">
        <v>1008</v>
      </c>
      <c r="I87" s="115" t="s">
        <v>47</v>
      </c>
      <c r="J87" s="115"/>
      <c r="K87" s="115"/>
      <c r="L87" s="115"/>
      <c r="M87" s="115"/>
      <c r="N87" s="115" t="s">
        <v>203</v>
      </c>
      <c r="O87" s="115" t="s">
        <v>871</v>
      </c>
      <c r="P87" s="115" t="s">
        <v>4</v>
      </c>
      <c r="Q87" s="115"/>
      <c r="R87" s="115">
        <v>15</v>
      </c>
      <c r="S87" s="116" t="str">
        <f t="shared" si="14"/>
        <v/>
      </c>
      <c r="T87" s="117" t="s">
        <v>1086</v>
      </c>
      <c r="U87" s="115" t="s">
        <v>384</v>
      </c>
      <c r="V87" s="115" t="s">
        <v>378</v>
      </c>
      <c r="W87" s="115" t="s">
        <v>861</v>
      </c>
      <c r="X87" s="115" t="s">
        <v>1010</v>
      </c>
      <c r="Y87" s="118">
        <v>2</v>
      </c>
      <c r="Z87" s="118" t="b">
        <f t="shared" si="15"/>
        <v>1</v>
      </c>
      <c r="AA87" s="116" t="b">
        <f t="shared" si="16"/>
        <v>1</v>
      </c>
      <c r="AB87" s="116" t="b">
        <f t="shared" si="17"/>
        <v>0</v>
      </c>
      <c r="AC87" s="116" t="b">
        <f t="shared" si="18"/>
        <v>0</v>
      </c>
      <c r="AD87" s="116" t="b">
        <f t="shared" si="19"/>
        <v>0</v>
      </c>
      <c r="AE87" s="116" t="b">
        <f t="shared" si="20"/>
        <v>0</v>
      </c>
      <c r="AF87" s="116" t="s">
        <v>862</v>
      </c>
      <c r="AG87" s="116" t="s">
        <v>863</v>
      </c>
      <c r="AH87" s="116">
        <v>0.01</v>
      </c>
      <c r="AI87" s="116">
        <v>0.01</v>
      </c>
      <c r="AJ87" s="116"/>
      <c r="AK87" s="116"/>
      <c r="AL87" s="82"/>
      <c r="AM87" s="82"/>
      <c r="AN87" s="82"/>
      <c r="AO87" s="82"/>
      <c r="AP87" s="82"/>
    </row>
    <row r="88" spans="3:42" x14ac:dyDescent="0.25">
      <c r="C88" s="102" t="s">
        <v>958</v>
      </c>
      <c r="D88" s="102" t="s">
        <v>871</v>
      </c>
      <c r="E88" s="102" t="s">
        <v>4</v>
      </c>
      <c r="F88" s="102" t="s">
        <v>859</v>
      </c>
      <c r="G88" s="97">
        <v>15</v>
      </c>
      <c r="H88" s="115" t="s">
        <v>1008</v>
      </c>
      <c r="I88" s="115" t="s">
        <v>75</v>
      </c>
      <c r="J88" s="115"/>
      <c r="K88" s="115"/>
      <c r="L88" s="115"/>
      <c r="M88" s="115"/>
      <c r="N88" s="115" t="s">
        <v>150</v>
      </c>
      <c r="O88" s="115" t="s">
        <v>871</v>
      </c>
      <c r="P88" s="115" t="s">
        <v>4</v>
      </c>
      <c r="Q88" s="115"/>
      <c r="R88" s="115">
        <v>15</v>
      </c>
      <c r="S88" s="116" t="str">
        <f t="shared" si="14"/>
        <v/>
      </c>
      <c r="T88" s="117" t="s">
        <v>1032</v>
      </c>
      <c r="U88" s="115" t="s">
        <v>377</v>
      </c>
      <c r="V88" s="115" t="s">
        <v>378</v>
      </c>
      <c r="W88" s="115" t="s">
        <v>861</v>
      </c>
      <c r="X88" s="115" t="s">
        <v>1010</v>
      </c>
      <c r="Y88" s="118">
        <v>2</v>
      </c>
      <c r="Z88" s="118" t="b">
        <f t="shared" si="15"/>
        <v>1</v>
      </c>
      <c r="AA88" s="116" t="b">
        <f t="shared" si="16"/>
        <v>0</v>
      </c>
      <c r="AB88" s="116" t="b">
        <f t="shared" si="17"/>
        <v>0</v>
      </c>
      <c r="AC88" s="116" t="b">
        <f t="shared" si="18"/>
        <v>0</v>
      </c>
      <c r="AD88" s="116" t="b">
        <f t="shared" si="19"/>
        <v>0</v>
      </c>
      <c r="AE88" s="116" t="b">
        <f t="shared" si="20"/>
        <v>0</v>
      </c>
      <c r="AF88" s="116" t="s">
        <v>864</v>
      </c>
      <c r="AG88" s="116" t="s">
        <v>865</v>
      </c>
      <c r="AH88" s="116">
        <v>0</v>
      </c>
      <c r="AI88" s="116">
        <v>0</v>
      </c>
      <c r="AJ88" s="116" t="s">
        <v>1127</v>
      </c>
      <c r="AK88" s="116"/>
      <c r="AL88" s="82"/>
      <c r="AM88" s="82"/>
      <c r="AN88" s="82"/>
      <c r="AO88" s="82"/>
      <c r="AP88" s="82"/>
    </row>
    <row r="89" spans="3:42" x14ac:dyDescent="0.25">
      <c r="C89" s="102" t="s">
        <v>959</v>
      </c>
      <c r="D89" s="102" t="s">
        <v>870</v>
      </c>
      <c r="E89" s="102" t="s">
        <v>4</v>
      </c>
      <c r="F89" s="102" t="s">
        <v>859</v>
      </c>
      <c r="G89" s="97">
        <v>9</v>
      </c>
      <c r="H89" s="115" t="s">
        <v>1008</v>
      </c>
      <c r="I89" s="115" t="s">
        <v>75</v>
      </c>
      <c r="J89" s="115"/>
      <c r="K89" s="115"/>
      <c r="L89" s="115"/>
      <c r="M89" s="115"/>
      <c r="N89" s="115" t="s">
        <v>155</v>
      </c>
      <c r="O89" s="115" t="s">
        <v>870</v>
      </c>
      <c r="P89" s="115" t="s">
        <v>4</v>
      </c>
      <c r="Q89" s="115"/>
      <c r="R89" s="115">
        <v>9</v>
      </c>
      <c r="S89" s="116" t="str">
        <f t="shared" si="14"/>
        <v/>
      </c>
      <c r="T89" s="117" t="s">
        <v>1087</v>
      </c>
      <c r="U89" s="115" t="s">
        <v>381</v>
      </c>
      <c r="V89" s="115" t="s">
        <v>378</v>
      </c>
      <c r="W89" s="115" t="s">
        <v>861</v>
      </c>
      <c r="X89" s="115" t="s">
        <v>1010</v>
      </c>
      <c r="Y89" s="118">
        <v>2</v>
      </c>
      <c r="Z89" s="118" t="b">
        <f t="shared" si="15"/>
        <v>1</v>
      </c>
      <c r="AA89" s="116" t="b">
        <f t="shared" si="16"/>
        <v>0</v>
      </c>
      <c r="AB89" s="116" t="b">
        <f t="shared" si="17"/>
        <v>0</v>
      </c>
      <c r="AC89" s="116" t="b">
        <f t="shared" si="18"/>
        <v>0</v>
      </c>
      <c r="AD89" s="116" t="b">
        <f t="shared" si="19"/>
        <v>0</v>
      </c>
      <c r="AE89" s="116" t="b">
        <f t="shared" si="20"/>
        <v>0</v>
      </c>
      <c r="AF89" s="116" t="s">
        <v>864</v>
      </c>
      <c r="AG89" s="116" t="s">
        <v>865</v>
      </c>
      <c r="AH89" s="116">
        <v>0</v>
      </c>
      <c r="AI89" s="116">
        <v>0</v>
      </c>
      <c r="AJ89" s="116" t="s">
        <v>1127</v>
      </c>
      <c r="AK89" s="116"/>
      <c r="AL89" s="82"/>
      <c r="AM89" s="82"/>
      <c r="AN89" s="82"/>
      <c r="AO89" s="82"/>
      <c r="AP89" s="82"/>
    </row>
    <row r="90" spans="3:42" x14ac:dyDescent="0.25">
      <c r="C90" s="102" t="s">
        <v>960</v>
      </c>
      <c r="D90" s="102" t="s">
        <v>870</v>
      </c>
      <c r="E90" s="102" t="s">
        <v>4</v>
      </c>
      <c r="F90" s="102" t="s">
        <v>859</v>
      </c>
      <c r="G90" s="97">
        <v>9</v>
      </c>
      <c r="H90" s="115" t="s">
        <v>1008</v>
      </c>
      <c r="I90" s="115" t="s">
        <v>75</v>
      </c>
      <c r="J90" s="115"/>
      <c r="K90" s="115"/>
      <c r="L90" s="115"/>
      <c r="M90" s="115"/>
      <c r="N90" s="115" t="s">
        <v>155</v>
      </c>
      <c r="O90" s="115" t="s">
        <v>870</v>
      </c>
      <c r="P90" s="115" t="s">
        <v>4</v>
      </c>
      <c r="Q90" s="115"/>
      <c r="R90" s="115">
        <v>9</v>
      </c>
      <c r="S90" s="116" t="str">
        <f t="shared" si="14"/>
        <v/>
      </c>
      <c r="T90" s="117" t="s">
        <v>1088</v>
      </c>
      <c r="U90" s="115" t="s">
        <v>403</v>
      </c>
      <c r="V90" s="115" t="s">
        <v>400</v>
      </c>
      <c r="W90" s="115" t="s">
        <v>861</v>
      </c>
      <c r="X90" s="115" t="s">
        <v>1010</v>
      </c>
      <c r="Y90" s="118">
        <v>2</v>
      </c>
      <c r="Z90" s="118" t="b">
        <f t="shared" si="15"/>
        <v>1</v>
      </c>
      <c r="AA90" s="116" t="b">
        <f t="shared" si="16"/>
        <v>0</v>
      </c>
      <c r="AB90" s="116" t="b">
        <f t="shared" si="17"/>
        <v>0</v>
      </c>
      <c r="AC90" s="116" t="b">
        <f t="shared" si="18"/>
        <v>0</v>
      </c>
      <c r="AD90" s="116" t="b">
        <f t="shared" si="19"/>
        <v>0</v>
      </c>
      <c r="AE90" s="116" t="b">
        <f t="shared" si="20"/>
        <v>0</v>
      </c>
      <c r="AF90" s="116" t="s">
        <v>864</v>
      </c>
      <c r="AG90" s="116" t="s">
        <v>865</v>
      </c>
      <c r="AH90" s="116">
        <v>0</v>
      </c>
      <c r="AI90" s="116">
        <v>0</v>
      </c>
      <c r="AJ90" s="116" t="s">
        <v>1127</v>
      </c>
      <c r="AK90" s="116"/>
      <c r="AL90" s="82"/>
      <c r="AM90" s="82"/>
      <c r="AN90" s="82"/>
      <c r="AO90" s="82"/>
      <c r="AP90" s="82"/>
    </row>
    <row r="91" spans="3:42" x14ac:dyDescent="0.25">
      <c r="C91" s="102" t="s">
        <v>961</v>
      </c>
      <c r="D91" s="102" t="s">
        <v>870</v>
      </c>
      <c r="E91" s="102" t="s">
        <v>4</v>
      </c>
      <c r="F91" s="102" t="s">
        <v>859</v>
      </c>
      <c r="G91" s="97">
        <v>6</v>
      </c>
      <c r="H91" s="115" t="s">
        <v>1008</v>
      </c>
      <c r="I91" s="115" t="s">
        <v>75</v>
      </c>
      <c r="J91" s="115"/>
      <c r="K91" s="115"/>
      <c r="L91" s="115"/>
      <c r="M91" s="115"/>
      <c r="N91" s="115" t="s">
        <v>155</v>
      </c>
      <c r="O91" s="115" t="s">
        <v>870</v>
      </c>
      <c r="P91" s="115" t="s">
        <v>1016</v>
      </c>
      <c r="Q91" s="115"/>
      <c r="R91" s="115">
        <v>6</v>
      </c>
      <c r="S91" s="116" t="str">
        <f t="shared" si="14"/>
        <v/>
      </c>
      <c r="T91" s="117" t="s">
        <v>1089</v>
      </c>
      <c r="U91" s="115" t="s">
        <v>406</v>
      </c>
      <c r="V91" s="115" t="s">
        <v>400</v>
      </c>
      <c r="W91" s="115" t="s">
        <v>861</v>
      </c>
      <c r="X91" s="115" t="s">
        <v>1010</v>
      </c>
      <c r="Y91" s="118">
        <v>2</v>
      </c>
      <c r="Z91" s="118" t="b">
        <f t="shared" si="15"/>
        <v>1</v>
      </c>
      <c r="AA91" s="116" t="b">
        <f t="shared" si="16"/>
        <v>0</v>
      </c>
      <c r="AB91" s="116" t="b">
        <f t="shared" si="17"/>
        <v>0</v>
      </c>
      <c r="AC91" s="116" t="b">
        <f t="shared" si="18"/>
        <v>1</v>
      </c>
      <c r="AD91" s="116" t="b">
        <f t="shared" si="19"/>
        <v>0</v>
      </c>
      <c r="AE91" s="116" t="b">
        <f t="shared" si="20"/>
        <v>0</v>
      </c>
      <c r="AF91" s="116" t="s">
        <v>864</v>
      </c>
      <c r="AG91" s="116" t="s">
        <v>865</v>
      </c>
      <c r="AH91" s="116">
        <v>0</v>
      </c>
      <c r="AI91" s="116">
        <v>0</v>
      </c>
      <c r="AJ91" s="116" t="s">
        <v>1127</v>
      </c>
      <c r="AK91" s="116"/>
      <c r="AL91" s="82"/>
      <c r="AM91" s="82"/>
      <c r="AN91" s="82"/>
      <c r="AO91" s="82"/>
      <c r="AP91" s="82"/>
    </row>
    <row r="92" spans="3:42" x14ac:dyDescent="0.25">
      <c r="C92" s="102" t="s">
        <v>962</v>
      </c>
      <c r="D92" s="102" t="s">
        <v>871</v>
      </c>
      <c r="E92" s="102" t="s">
        <v>4</v>
      </c>
      <c r="F92" s="102" t="s">
        <v>859</v>
      </c>
      <c r="G92" s="97">
        <v>18</v>
      </c>
      <c r="H92" s="115" t="s">
        <v>1008</v>
      </c>
      <c r="I92" s="115" t="s">
        <v>75</v>
      </c>
      <c r="J92" s="115"/>
      <c r="K92" s="115"/>
      <c r="L92" s="115"/>
      <c r="M92" s="115"/>
      <c r="N92" s="115" t="s">
        <v>150</v>
      </c>
      <c r="O92" s="115" t="s">
        <v>871</v>
      </c>
      <c r="P92" s="115" t="s">
        <v>4</v>
      </c>
      <c r="Q92" s="115"/>
      <c r="R92" s="115">
        <v>18</v>
      </c>
      <c r="S92" s="116" t="str">
        <f t="shared" si="14"/>
        <v/>
      </c>
      <c r="T92" s="117" t="s">
        <v>1090</v>
      </c>
      <c r="U92" s="115" t="s">
        <v>406</v>
      </c>
      <c r="V92" s="115" t="s">
        <v>400</v>
      </c>
      <c r="W92" s="115" t="s">
        <v>861</v>
      </c>
      <c r="X92" s="115" t="s">
        <v>1010</v>
      </c>
      <c r="Y92" s="118">
        <v>2</v>
      </c>
      <c r="Z92" s="118" t="b">
        <f t="shared" si="15"/>
        <v>1</v>
      </c>
      <c r="AA92" s="116" t="b">
        <f t="shared" si="16"/>
        <v>0</v>
      </c>
      <c r="AB92" s="116" t="b">
        <f t="shared" si="17"/>
        <v>0</v>
      </c>
      <c r="AC92" s="116" t="b">
        <f t="shared" si="18"/>
        <v>0</v>
      </c>
      <c r="AD92" s="116" t="b">
        <f t="shared" si="19"/>
        <v>0</v>
      </c>
      <c r="AE92" s="116" t="b">
        <f t="shared" si="20"/>
        <v>0</v>
      </c>
      <c r="AF92" s="116" t="s">
        <v>864</v>
      </c>
      <c r="AG92" s="116" t="s">
        <v>865</v>
      </c>
      <c r="AH92" s="116">
        <v>0</v>
      </c>
      <c r="AI92" s="116">
        <v>0</v>
      </c>
      <c r="AJ92" s="116" t="s">
        <v>1127</v>
      </c>
      <c r="AK92" s="116"/>
      <c r="AL92" s="82"/>
      <c r="AM92" s="82"/>
      <c r="AN92" s="82"/>
      <c r="AO92" s="82"/>
      <c r="AP92" s="82"/>
    </row>
    <row r="93" spans="3:42" x14ac:dyDescent="0.25">
      <c r="C93" s="102" t="s">
        <v>963</v>
      </c>
      <c r="D93" s="102" t="s">
        <v>870</v>
      </c>
      <c r="E93" s="102" t="s">
        <v>4</v>
      </c>
      <c r="F93" s="102" t="s">
        <v>859</v>
      </c>
      <c r="G93" s="97">
        <v>6</v>
      </c>
      <c r="H93" s="115" t="s">
        <v>1008</v>
      </c>
      <c r="I93" s="115" t="s">
        <v>75</v>
      </c>
      <c r="J93" s="115"/>
      <c r="K93" s="115"/>
      <c r="L93" s="115"/>
      <c r="M93" s="115"/>
      <c r="N93" s="115" t="s">
        <v>155</v>
      </c>
      <c r="O93" s="115" t="s">
        <v>870</v>
      </c>
      <c r="P93" s="115" t="s">
        <v>4</v>
      </c>
      <c r="Q93" s="115"/>
      <c r="R93" s="115">
        <v>6</v>
      </c>
      <c r="S93" s="116" t="str">
        <f t="shared" si="14"/>
        <v/>
      </c>
      <c r="T93" s="117" t="s">
        <v>1091</v>
      </c>
      <c r="U93" s="115" t="s">
        <v>388</v>
      </c>
      <c r="V93" s="115" t="s">
        <v>386</v>
      </c>
      <c r="W93" s="115" t="s">
        <v>861</v>
      </c>
      <c r="X93" s="115" t="s">
        <v>1010</v>
      </c>
      <c r="Y93" s="118">
        <v>2</v>
      </c>
      <c r="Z93" s="118" t="b">
        <f t="shared" si="15"/>
        <v>1</v>
      </c>
      <c r="AA93" s="116" t="b">
        <f t="shared" si="16"/>
        <v>0</v>
      </c>
      <c r="AB93" s="116" t="b">
        <f t="shared" si="17"/>
        <v>0</v>
      </c>
      <c r="AC93" s="116" t="b">
        <f t="shared" si="18"/>
        <v>0</v>
      </c>
      <c r="AD93" s="116" t="b">
        <f t="shared" si="19"/>
        <v>0</v>
      </c>
      <c r="AE93" s="116" t="b">
        <f t="shared" si="20"/>
        <v>0</v>
      </c>
      <c r="AF93" s="116" t="s">
        <v>864</v>
      </c>
      <c r="AG93" s="116" t="s">
        <v>865</v>
      </c>
      <c r="AH93" s="116">
        <v>0</v>
      </c>
      <c r="AI93" s="116">
        <v>0</v>
      </c>
      <c r="AJ93" s="116" t="s">
        <v>1127</v>
      </c>
      <c r="AK93" s="116"/>
      <c r="AL93" s="82"/>
      <c r="AM93" s="82"/>
      <c r="AN93" s="82"/>
      <c r="AO93" s="82"/>
      <c r="AP93" s="82"/>
    </row>
    <row r="94" spans="3:42" x14ac:dyDescent="0.25">
      <c r="C94" s="102" t="s">
        <v>964</v>
      </c>
      <c r="D94" s="102" t="s">
        <v>871</v>
      </c>
      <c r="E94" s="102" t="s">
        <v>4</v>
      </c>
      <c r="F94" s="102" t="s">
        <v>859</v>
      </c>
      <c r="G94" s="97">
        <v>6</v>
      </c>
      <c r="H94" s="115" t="s">
        <v>1008</v>
      </c>
      <c r="I94" s="115" t="s">
        <v>47</v>
      </c>
      <c r="J94" s="115"/>
      <c r="K94" s="115"/>
      <c r="L94" s="115"/>
      <c r="M94" s="115"/>
      <c r="N94" s="115" t="s">
        <v>203</v>
      </c>
      <c r="O94" s="115" t="s">
        <v>871</v>
      </c>
      <c r="P94" s="115" t="s">
        <v>4</v>
      </c>
      <c r="Q94" s="115"/>
      <c r="R94" s="115">
        <v>6</v>
      </c>
      <c r="S94" s="116" t="str">
        <f t="shared" si="14"/>
        <v/>
      </c>
      <c r="T94" s="117" t="s">
        <v>1092</v>
      </c>
      <c r="U94" s="115" t="s">
        <v>347</v>
      </c>
      <c r="V94" s="115" t="s">
        <v>11</v>
      </c>
      <c r="W94" s="115" t="s">
        <v>861</v>
      </c>
      <c r="X94" s="115" t="s">
        <v>1010</v>
      </c>
      <c r="Y94" s="118">
        <v>2</v>
      </c>
      <c r="Z94" s="118" t="b">
        <f t="shared" si="15"/>
        <v>1</v>
      </c>
      <c r="AA94" s="116" t="b">
        <f t="shared" si="16"/>
        <v>1</v>
      </c>
      <c r="AB94" s="116" t="b">
        <f t="shared" si="17"/>
        <v>0</v>
      </c>
      <c r="AC94" s="116" t="b">
        <f t="shared" si="18"/>
        <v>0</v>
      </c>
      <c r="AD94" s="116" t="b">
        <f t="shared" si="19"/>
        <v>0</v>
      </c>
      <c r="AE94" s="116" t="b">
        <f t="shared" si="20"/>
        <v>0</v>
      </c>
      <c r="AF94" s="116" t="s">
        <v>862</v>
      </c>
      <c r="AG94" s="116" t="s">
        <v>863</v>
      </c>
      <c r="AH94" s="116">
        <v>0.01</v>
      </c>
      <c r="AI94" s="116">
        <v>0.01</v>
      </c>
      <c r="AJ94" s="116"/>
      <c r="AK94" s="116"/>
      <c r="AL94" s="82"/>
      <c r="AM94" s="82"/>
      <c r="AN94" s="82"/>
      <c r="AO94" s="82"/>
      <c r="AP94" s="82"/>
    </row>
    <row r="95" spans="3:42" x14ac:dyDescent="0.25">
      <c r="C95" s="102" t="s">
        <v>965</v>
      </c>
      <c r="D95" s="102" t="s">
        <v>871</v>
      </c>
      <c r="E95" s="102" t="s">
        <v>3</v>
      </c>
      <c r="F95" s="102" t="s">
        <v>859</v>
      </c>
      <c r="G95" s="97">
        <v>15</v>
      </c>
      <c r="H95" s="115" t="s">
        <v>1008</v>
      </c>
      <c r="I95" s="115" t="s">
        <v>75</v>
      </c>
      <c r="J95" s="115"/>
      <c r="K95" s="115"/>
      <c r="L95" s="115"/>
      <c r="M95" s="115"/>
      <c r="N95" s="115" t="s">
        <v>150</v>
      </c>
      <c r="O95" s="115" t="s">
        <v>871</v>
      </c>
      <c r="P95" s="115" t="s">
        <v>3</v>
      </c>
      <c r="Q95" s="115"/>
      <c r="R95" s="115">
        <v>15</v>
      </c>
      <c r="S95" s="116" t="str">
        <f t="shared" si="14"/>
        <v/>
      </c>
      <c r="T95" s="117" t="s">
        <v>1025</v>
      </c>
      <c r="U95" s="115" t="s">
        <v>411</v>
      </c>
      <c r="V95" s="115" t="s">
        <v>412</v>
      </c>
      <c r="W95" s="115" t="s">
        <v>861</v>
      </c>
      <c r="X95" s="115" t="s">
        <v>1010</v>
      </c>
      <c r="Y95" s="118">
        <v>2</v>
      </c>
      <c r="Z95" s="118" t="b">
        <f t="shared" si="15"/>
        <v>1</v>
      </c>
      <c r="AA95" s="116" t="b">
        <f t="shared" si="16"/>
        <v>0</v>
      </c>
      <c r="AB95" s="116" t="b">
        <f t="shared" si="17"/>
        <v>0</v>
      </c>
      <c r="AC95" s="116" t="b">
        <f t="shared" si="18"/>
        <v>0</v>
      </c>
      <c r="AD95" s="116" t="b">
        <f t="shared" si="19"/>
        <v>0</v>
      </c>
      <c r="AE95" s="116" t="b">
        <f t="shared" si="20"/>
        <v>0</v>
      </c>
      <c r="AF95" s="116" t="s">
        <v>864</v>
      </c>
      <c r="AG95" s="116" t="s">
        <v>865</v>
      </c>
      <c r="AH95" s="116">
        <v>0</v>
      </c>
      <c r="AI95" s="116">
        <v>0</v>
      </c>
      <c r="AJ95" s="116" t="s">
        <v>1127</v>
      </c>
      <c r="AK95" s="116"/>
      <c r="AL95" s="82"/>
      <c r="AM95" s="82"/>
      <c r="AN95" s="82"/>
      <c r="AO95" s="82"/>
      <c r="AP95" s="82"/>
    </row>
    <row r="96" spans="3:42" x14ac:dyDescent="0.25">
      <c r="C96" s="102" t="s">
        <v>966</v>
      </c>
      <c r="D96" s="102" t="s">
        <v>870</v>
      </c>
      <c r="E96" s="102" t="s">
        <v>4</v>
      </c>
      <c r="F96" s="102" t="s">
        <v>859</v>
      </c>
      <c r="G96" s="97">
        <v>6</v>
      </c>
      <c r="H96" s="115" t="s">
        <v>1008</v>
      </c>
      <c r="I96" s="115" t="s">
        <v>1</v>
      </c>
      <c r="J96" s="115"/>
      <c r="K96" s="115"/>
      <c r="L96" s="115"/>
      <c r="M96" s="115"/>
      <c r="N96" s="115" t="s">
        <v>87</v>
      </c>
      <c r="O96" s="115" t="s">
        <v>870</v>
      </c>
      <c r="P96" s="115" t="s">
        <v>4</v>
      </c>
      <c r="Q96" s="115"/>
      <c r="R96" s="115">
        <v>6</v>
      </c>
      <c r="S96" s="116" t="str">
        <f t="shared" si="14"/>
        <v/>
      </c>
      <c r="T96" s="117" t="s">
        <v>1093</v>
      </c>
      <c r="U96" s="115" t="s">
        <v>411</v>
      </c>
      <c r="V96" s="115" t="s">
        <v>412</v>
      </c>
      <c r="W96" s="115" t="s">
        <v>861</v>
      </c>
      <c r="X96" s="115" t="s">
        <v>1010</v>
      </c>
      <c r="Y96" s="118">
        <v>2</v>
      </c>
      <c r="Z96" s="118" t="b">
        <f t="shared" si="15"/>
        <v>1</v>
      </c>
      <c r="AA96" s="116" t="b">
        <f t="shared" si="16"/>
        <v>1</v>
      </c>
      <c r="AB96" s="116" t="b">
        <f t="shared" si="17"/>
        <v>0</v>
      </c>
      <c r="AC96" s="116" t="b">
        <f t="shared" si="18"/>
        <v>0</v>
      </c>
      <c r="AD96" s="116" t="b">
        <f t="shared" si="19"/>
        <v>0</v>
      </c>
      <c r="AE96" s="116" t="b">
        <f t="shared" si="20"/>
        <v>0</v>
      </c>
      <c r="AF96" s="116" t="s">
        <v>862</v>
      </c>
      <c r="AG96" s="116" t="s">
        <v>863</v>
      </c>
      <c r="AH96" s="116">
        <v>0.01</v>
      </c>
      <c r="AI96" s="116">
        <v>0.01</v>
      </c>
      <c r="AJ96" s="116"/>
      <c r="AK96" s="116"/>
      <c r="AL96" s="82"/>
      <c r="AM96" s="82"/>
      <c r="AN96" s="82"/>
      <c r="AO96" s="82"/>
      <c r="AP96" s="82"/>
    </row>
    <row r="97" spans="3:42" x14ac:dyDescent="0.25">
      <c r="C97" s="102" t="s">
        <v>967</v>
      </c>
      <c r="D97" s="102" t="s">
        <v>870</v>
      </c>
      <c r="E97" s="102" t="s">
        <v>4</v>
      </c>
      <c r="F97" s="102" t="s">
        <v>859</v>
      </c>
      <c r="G97" s="97">
        <v>6</v>
      </c>
      <c r="H97" s="115" t="s">
        <v>1008</v>
      </c>
      <c r="I97" s="115" t="s">
        <v>47</v>
      </c>
      <c r="J97" s="115"/>
      <c r="K97" s="115"/>
      <c r="L97" s="115"/>
      <c r="M97" s="115"/>
      <c r="N97" s="115" t="s">
        <v>170</v>
      </c>
      <c r="O97" s="115" t="s">
        <v>870</v>
      </c>
      <c r="P97" s="115" t="s">
        <v>4</v>
      </c>
      <c r="Q97" s="115"/>
      <c r="R97" s="115">
        <v>6</v>
      </c>
      <c r="S97" s="116" t="str">
        <f t="shared" si="14"/>
        <v/>
      </c>
      <c r="T97" s="117" t="s">
        <v>1094</v>
      </c>
      <c r="U97" s="115" t="s">
        <v>416</v>
      </c>
      <c r="V97" s="115" t="s">
        <v>412</v>
      </c>
      <c r="W97" s="115" t="s">
        <v>861</v>
      </c>
      <c r="X97" s="115" t="s">
        <v>1010</v>
      </c>
      <c r="Y97" s="118">
        <v>2</v>
      </c>
      <c r="Z97" s="118" t="b">
        <f t="shared" si="15"/>
        <v>1</v>
      </c>
      <c r="AA97" s="116" t="b">
        <f t="shared" si="16"/>
        <v>1</v>
      </c>
      <c r="AB97" s="116" t="b">
        <f t="shared" si="17"/>
        <v>0</v>
      </c>
      <c r="AC97" s="116" t="b">
        <f t="shared" si="18"/>
        <v>0</v>
      </c>
      <c r="AD97" s="116" t="b">
        <f t="shared" si="19"/>
        <v>0</v>
      </c>
      <c r="AE97" s="116" t="b">
        <f t="shared" si="20"/>
        <v>0</v>
      </c>
      <c r="AF97" s="116" t="s">
        <v>862</v>
      </c>
      <c r="AG97" s="116" t="s">
        <v>863</v>
      </c>
      <c r="AH97" s="116">
        <v>0.01</v>
      </c>
      <c r="AI97" s="116">
        <v>0.01</v>
      </c>
      <c r="AJ97" s="116"/>
      <c r="AK97" s="116"/>
      <c r="AL97" s="82"/>
      <c r="AM97" s="82"/>
      <c r="AN97" s="82"/>
      <c r="AO97" s="82"/>
      <c r="AP97" s="82"/>
    </row>
    <row r="98" spans="3:42" x14ac:dyDescent="0.25">
      <c r="C98" s="102" t="s">
        <v>968</v>
      </c>
      <c r="D98" s="102" t="s">
        <v>870</v>
      </c>
      <c r="E98" s="102" t="s">
        <v>4</v>
      </c>
      <c r="F98" s="102" t="s">
        <v>859</v>
      </c>
      <c r="G98" s="97">
        <v>6</v>
      </c>
      <c r="H98" s="115" t="s">
        <v>1008</v>
      </c>
      <c r="I98" s="115" t="s">
        <v>236</v>
      </c>
      <c r="J98" s="115"/>
      <c r="K98" s="115"/>
      <c r="L98" s="115"/>
      <c r="M98" s="115"/>
      <c r="N98" s="115" t="s">
        <v>85</v>
      </c>
      <c r="O98" s="115" t="s">
        <v>870</v>
      </c>
      <c r="P98" s="115" t="s">
        <v>1016</v>
      </c>
      <c r="Q98" s="115"/>
      <c r="R98" s="115">
        <v>6</v>
      </c>
      <c r="S98" s="116" t="str">
        <f t="shared" si="14"/>
        <v/>
      </c>
      <c r="T98" s="117" t="s">
        <v>1095</v>
      </c>
      <c r="U98" s="115" t="s">
        <v>351</v>
      </c>
      <c r="V98" s="115" t="s">
        <v>12</v>
      </c>
      <c r="W98" s="115" t="s">
        <v>861</v>
      </c>
      <c r="X98" s="115" t="s">
        <v>1010</v>
      </c>
      <c r="Y98" s="118">
        <v>2</v>
      </c>
      <c r="Z98" s="118" t="b">
        <f t="shared" si="15"/>
        <v>1</v>
      </c>
      <c r="AA98" s="116" t="b">
        <f t="shared" si="16"/>
        <v>1</v>
      </c>
      <c r="AB98" s="116" t="b">
        <f t="shared" si="17"/>
        <v>0</v>
      </c>
      <c r="AC98" s="116" t="b">
        <f t="shared" si="18"/>
        <v>1</v>
      </c>
      <c r="AD98" s="116" t="b">
        <f t="shared" si="19"/>
        <v>0</v>
      </c>
      <c r="AE98" s="116" t="b">
        <f t="shared" si="20"/>
        <v>0</v>
      </c>
      <c r="AF98" s="116" t="s">
        <v>862</v>
      </c>
      <c r="AG98" s="116" t="s">
        <v>863</v>
      </c>
      <c r="AH98" s="116">
        <v>0.01</v>
      </c>
      <c r="AI98" s="116">
        <v>0.01</v>
      </c>
      <c r="AJ98" s="116"/>
      <c r="AK98" s="116"/>
      <c r="AL98" s="82"/>
      <c r="AM98" s="82"/>
      <c r="AN98" s="82"/>
      <c r="AO98" s="82"/>
      <c r="AP98" s="82"/>
    </row>
    <row r="99" spans="3:42" x14ac:dyDescent="0.25">
      <c r="C99" s="102" t="s">
        <v>969</v>
      </c>
      <c r="D99" s="102" t="s">
        <v>871</v>
      </c>
      <c r="E99" s="102" t="s">
        <v>3</v>
      </c>
      <c r="F99" s="102" t="s">
        <v>859</v>
      </c>
      <c r="G99" s="97">
        <v>6</v>
      </c>
      <c r="H99" s="115" t="s">
        <v>1008</v>
      </c>
      <c r="I99" s="115" t="s">
        <v>236</v>
      </c>
      <c r="J99" s="115"/>
      <c r="K99" s="115"/>
      <c r="L99" s="115"/>
      <c r="M99" s="115"/>
      <c r="N99" s="115" t="s">
        <v>89</v>
      </c>
      <c r="O99" s="115" t="s">
        <v>871</v>
      </c>
      <c r="P99" s="115" t="s">
        <v>3</v>
      </c>
      <c r="Q99" s="115"/>
      <c r="R99" s="115">
        <v>6</v>
      </c>
      <c r="S99" s="116" t="str">
        <f t="shared" si="14"/>
        <v/>
      </c>
      <c r="T99" s="117" t="s">
        <v>1096</v>
      </c>
      <c r="U99" s="115" t="s">
        <v>351</v>
      </c>
      <c r="V99" s="115" t="s">
        <v>12</v>
      </c>
      <c r="W99" s="115" t="s">
        <v>861</v>
      </c>
      <c r="X99" s="115" t="s">
        <v>1010</v>
      </c>
      <c r="Y99" s="118">
        <v>2</v>
      </c>
      <c r="Z99" s="118" t="b">
        <f t="shared" si="15"/>
        <v>1</v>
      </c>
      <c r="AA99" s="116" t="b">
        <f t="shared" si="16"/>
        <v>1</v>
      </c>
      <c r="AB99" s="116" t="b">
        <f t="shared" si="17"/>
        <v>0</v>
      </c>
      <c r="AC99" s="116" t="b">
        <f t="shared" si="18"/>
        <v>0</v>
      </c>
      <c r="AD99" s="116" t="b">
        <f t="shared" si="19"/>
        <v>0</v>
      </c>
      <c r="AE99" s="116" t="b">
        <f t="shared" si="20"/>
        <v>0</v>
      </c>
      <c r="AF99" s="116" t="s">
        <v>862</v>
      </c>
      <c r="AG99" s="116" t="s">
        <v>863</v>
      </c>
      <c r="AH99" s="116">
        <v>0.01</v>
      </c>
      <c r="AI99" s="116">
        <v>0.01</v>
      </c>
      <c r="AJ99" s="116"/>
      <c r="AK99" s="116"/>
      <c r="AL99" s="82"/>
      <c r="AM99" s="82"/>
      <c r="AN99" s="82"/>
      <c r="AO99" s="82"/>
      <c r="AP99" s="82"/>
    </row>
    <row r="100" spans="3:42" x14ac:dyDescent="0.25">
      <c r="C100" s="102" t="s">
        <v>970</v>
      </c>
      <c r="D100" s="102" t="s">
        <v>871</v>
      </c>
      <c r="E100" s="102" t="s">
        <v>3</v>
      </c>
      <c r="F100" s="102" t="s">
        <v>859</v>
      </c>
      <c r="G100" s="97">
        <v>9</v>
      </c>
      <c r="H100" s="115" t="s">
        <v>1008</v>
      </c>
      <c r="I100" s="115" t="s">
        <v>75</v>
      </c>
      <c r="J100" s="115"/>
      <c r="K100" s="115"/>
      <c r="L100" s="115"/>
      <c r="M100" s="115"/>
      <c r="N100" s="115" t="s">
        <v>150</v>
      </c>
      <c r="O100" s="115" t="s">
        <v>871</v>
      </c>
      <c r="P100" s="115" t="s">
        <v>3</v>
      </c>
      <c r="Q100" s="115"/>
      <c r="R100" s="115">
        <v>9</v>
      </c>
      <c r="S100" s="116" t="str">
        <f t="shared" si="14"/>
        <v/>
      </c>
      <c r="T100" s="117" t="s">
        <v>1097</v>
      </c>
      <c r="U100" s="115" t="s">
        <v>423</v>
      </c>
      <c r="V100" s="115" t="s">
        <v>421</v>
      </c>
      <c r="W100" s="115" t="s">
        <v>861</v>
      </c>
      <c r="X100" s="115" t="s">
        <v>1010</v>
      </c>
      <c r="Y100" s="118">
        <v>2</v>
      </c>
      <c r="Z100" s="118" t="b">
        <f t="shared" si="15"/>
        <v>1</v>
      </c>
      <c r="AA100" s="116" t="b">
        <f t="shared" si="16"/>
        <v>0</v>
      </c>
      <c r="AB100" s="116" t="b">
        <f t="shared" si="17"/>
        <v>0</v>
      </c>
      <c r="AC100" s="116" t="b">
        <f t="shared" si="18"/>
        <v>0</v>
      </c>
      <c r="AD100" s="116" t="b">
        <f t="shared" si="19"/>
        <v>0</v>
      </c>
      <c r="AE100" s="116" t="b">
        <f t="shared" si="20"/>
        <v>0</v>
      </c>
      <c r="AF100" s="116" t="s">
        <v>864</v>
      </c>
      <c r="AG100" s="116" t="s">
        <v>865</v>
      </c>
      <c r="AH100" s="116">
        <v>0</v>
      </c>
      <c r="AI100" s="116">
        <v>0</v>
      </c>
      <c r="AJ100" s="116" t="s">
        <v>1127</v>
      </c>
      <c r="AK100" s="116"/>
      <c r="AL100" s="82"/>
      <c r="AM100" s="82"/>
      <c r="AN100" s="82"/>
      <c r="AO100" s="82"/>
      <c r="AP100" s="82"/>
    </row>
    <row r="101" spans="3:42" x14ac:dyDescent="0.25">
      <c r="C101" s="102" t="s">
        <v>971</v>
      </c>
      <c r="D101" s="102" t="s">
        <v>871</v>
      </c>
      <c r="E101" s="102" t="s">
        <v>4</v>
      </c>
      <c r="F101" s="102" t="s">
        <v>859</v>
      </c>
      <c r="G101" s="97">
        <v>9</v>
      </c>
      <c r="H101" s="115" t="s">
        <v>1008</v>
      </c>
      <c r="I101" s="115" t="s">
        <v>77</v>
      </c>
      <c r="J101" s="115"/>
      <c r="K101" s="115"/>
      <c r="L101" s="115"/>
      <c r="M101" s="115"/>
      <c r="N101" s="115" t="s">
        <v>153</v>
      </c>
      <c r="O101" s="115" t="s">
        <v>871</v>
      </c>
      <c r="P101" s="115" t="s">
        <v>4</v>
      </c>
      <c r="Q101" s="115"/>
      <c r="R101" s="115">
        <v>9</v>
      </c>
      <c r="S101" s="116" t="str">
        <f t="shared" si="14"/>
        <v/>
      </c>
      <c r="T101" s="117" t="s">
        <v>1098</v>
      </c>
      <c r="U101" s="115" t="s">
        <v>334</v>
      </c>
      <c r="V101" s="115" t="s">
        <v>333</v>
      </c>
      <c r="W101" s="115" t="s">
        <v>861</v>
      </c>
      <c r="X101" s="115" t="s">
        <v>1010</v>
      </c>
      <c r="Y101" s="118">
        <v>2</v>
      </c>
      <c r="Z101" s="118" t="b">
        <f t="shared" si="15"/>
        <v>1</v>
      </c>
      <c r="AA101" s="116" t="b">
        <f t="shared" si="16"/>
        <v>1</v>
      </c>
      <c r="AB101" s="116" t="b">
        <f t="shared" si="17"/>
        <v>0</v>
      </c>
      <c r="AC101" s="116" t="b">
        <f t="shared" si="18"/>
        <v>0</v>
      </c>
      <c r="AD101" s="116" t="b">
        <f t="shared" si="19"/>
        <v>0</v>
      </c>
      <c r="AE101" s="116" t="b">
        <f t="shared" si="20"/>
        <v>0</v>
      </c>
      <c r="AF101" s="116" t="s">
        <v>862</v>
      </c>
      <c r="AG101" s="116" t="s">
        <v>863</v>
      </c>
      <c r="AH101" s="116">
        <v>0.01</v>
      </c>
      <c r="AI101" s="116">
        <v>0.01</v>
      </c>
      <c r="AJ101" s="116"/>
      <c r="AK101" s="116"/>
      <c r="AL101" s="82"/>
      <c r="AM101" s="82"/>
      <c r="AN101" s="82"/>
      <c r="AO101" s="82"/>
      <c r="AP101" s="82"/>
    </row>
    <row r="102" spans="3:42" x14ac:dyDescent="0.25">
      <c r="C102" s="102" t="s">
        <v>972</v>
      </c>
      <c r="D102" s="102" t="s">
        <v>870</v>
      </c>
      <c r="E102" s="102" t="s">
        <v>4</v>
      </c>
      <c r="F102" s="102" t="s">
        <v>859</v>
      </c>
      <c r="G102" s="97">
        <v>6</v>
      </c>
      <c r="H102" s="115" t="s">
        <v>1008</v>
      </c>
      <c r="I102" s="115" t="s">
        <v>2</v>
      </c>
      <c r="J102" s="115"/>
      <c r="K102" s="115"/>
      <c r="L102" s="115"/>
      <c r="M102" s="115"/>
      <c r="N102" s="115" t="s">
        <v>93</v>
      </c>
      <c r="O102" s="115" t="s">
        <v>870</v>
      </c>
      <c r="P102" s="115" t="s">
        <v>4</v>
      </c>
      <c r="Q102" s="115"/>
      <c r="R102" s="115">
        <v>6</v>
      </c>
      <c r="S102" s="116" t="str">
        <f t="shared" si="14"/>
        <v/>
      </c>
      <c r="T102" s="117" t="s">
        <v>1099</v>
      </c>
      <c r="U102" s="115" t="s">
        <v>341</v>
      </c>
      <c r="V102" s="115" t="s">
        <v>13</v>
      </c>
      <c r="W102" s="115" t="s">
        <v>861</v>
      </c>
      <c r="X102" s="115" t="s">
        <v>1010</v>
      </c>
      <c r="Y102" s="118">
        <v>2</v>
      </c>
      <c r="Z102" s="118" t="b">
        <f t="shared" si="15"/>
        <v>1</v>
      </c>
      <c r="AA102" s="116" t="b">
        <f t="shared" si="16"/>
        <v>1</v>
      </c>
      <c r="AB102" s="116" t="b">
        <f t="shared" si="17"/>
        <v>0</v>
      </c>
      <c r="AC102" s="116" t="b">
        <f t="shared" si="18"/>
        <v>0</v>
      </c>
      <c r="AD102" s="116" t="b">
        <f t="shared" si="19"/>
        <v>0</v>
      </c>
      <c r="AE102" s="116" t="b">
        <f t="shared" si="20"/>
        <v>0</v>
      </c>
      <c r="AF102" s="116" t="s">
        <v>862</v>
      </c>
      <c r="AG102" s="116" t="s">
        <v>863</v>
      </c>
      <c r="AH102" s="116">
        <v>0.01</v>
      </c>
      <c r="AI102" s="116">
        <v>0.01</v>
      </c>
      <c r="AJ102" s="116"/>
      <c r="AK102" s="116"/>
      <c r="AL102" s="82"/>
      <c r="AM102" s="82"/>
      <c r="AN102" s="82"/>
      <c r="AO102" s="82"/>
      <c r="AP102" s="82"/>
    </row>
    <row r="103" spans="3:42" x14ac:dyDescent="0.25">
      <c r="C103" s="102" t="s">
        <v>973</v>
      </c>
      <c r="D103" s="102" t="s">
        <v>870</v>
      </c>
      <c r="E103" s="102" t="s">
        <v>4</v>
      </c>
      <c r="F103" s="102" t="s">
        <v>859</v>
      </c>
      <c r="G103" s="97">
        <v>6</v>
      </c>
      <c r="H103" s="115" t="s">
        <v>1008</v>
      </c>
      <c r="I103" s="115" t="s">
        <v>75</v>
      </c>
      <c r="J103" s="115"/>
      <c r="K103" s="115"/>
      <c r="L103" s="115"/>
      <c r="M103" s="115"/>
      <c r="N103" s="115" t="s">
        <v>155</v>
      </c>
      <c r="O103" s="115" t="s">
        <v>870</v>
      </c>
      <c r="P103" s="115" t="s">
        <v>4</v>
      </c>
      <c r="Q103" s="115"/>
      <c r="R103" s="115">
        <v>6</v>
      </c>
      <c r="S103" s="116" t="str">
        <f t="shared" ref="S103:S132" si="21">TEXT(IF(W103="DISCO", M103, Q103),"")</f>
        <v/>
      </c>
      <c r="T103" s="117" t="s">
        <v>1100</v>
      </c>
      <c r="U103" s="115" t="s">
        <v>338</v>
      </c>
      <c r="V103" s="115" t="s">
        <v>13</v>
      </c>
      <c r="W103" s="115" t="s">
        <v>861</v>
      </c>
      <c r="X103" s="115" t="s">
        <v>1010</v>
      </c>
      <c r="Y103" s="118">
        <v>2</v>
      </c>
      <c r="Z103" s="118" t="b">
        <f t="shared" ref="Z103:Z132" si="22">Y103&gt;0</f>
        <v>1</v>
      </c>
      <c r="AA103" s="116" t="b">
        <f t="shared" ref="AA103:AA132" si="23">NOT(EXACT(I103,CTR_C))</f>
        <v>0</v>
      </c>
      <c r="AB103" s="116" t="b">
        <f t="shared" ref="AB103:AB132" si="24">NOT(EXACT(O103,D103))</f>
        <v>0</v>
      </c>
      <c r="AC103" s="116" t="b">
        <f t="shared" ref="AC103:AC132" si="25">NOT(EXACT(P103,E103))</f>
        <v>0</v>
      </c>
      <c r="AD103" s="116" t="b">
        <f t="shared" ref="AD103:AD132" si="26">NOT(EXACT(S103,F103))</f>
        <v>0</v>
      </c>
      <c r="AE103" s="116" t="b">
        <f t="shared" ref="AE103:AE132" si="27">NOT(EXACT(R103,G103))</f>
        <v>0</v>
      </c>
      <c r="AF103" s="116" t="s">
        <v>864</v>
      </c>
      <c r="AG103" s="116" t="s">
        <v>865</v>
      </c>
      <c r="AH103" s="116">
        <v>0</v>
      </c>
      <c r="AI103" s="116">
        <v>0</v>
      </c>
      <c r="AJ103" s="116" t="s">
        <v>1127</v>
      </c>
      <c r="AK103" s="116"/>
      <c r="AL103" s="82"/>
      <c r="AM103" s="82"/>
      <c r="AN103" s="82"/>
      <c r="AO103" s="82"/>
      <c r="AP103" s="82"/>
    </row>
    <row r="104" spans="3:42" x14ac:dyDescent="0.25">
      <c r="C104" s="102" t="s">
        <v>974</v>
      </c>
      <c r="D104" s="102" t="s">
        <v>870</v>
      </c>
      <c r="E104" s="102" t="s">
        <v>4</v>
      </c>
      <c r="F104" s="102" t="s">
        <v>859</v>
      </c>
      <c r="G104" s="97">
        <v>6</v>
      </c>
      <c r="H104" s="115" t="s">
        <v>1008</v>
      </c>
      <c r="I104" s="115" t="s">
        <v>236</v>
      </c>
      <c r="J104" s="115"/>
      <c r="K104" s="115"/>
      <c r="L104" s="115"/>
      <c r="M104" s="115"/>
      <c r="N104" s="115" t="s">
        <v>85</v>
      </c>
      <c r="O104" s="115" t="s">
        <v>870</v>
      </c>
      <c r="P104" s="115" t="s">
        <v>4</v>
      </c>
      <c r="Q104" s="115"/>
      <c r="R104" s="115">
        <v>6</v>
      </c>
      <c r="S104" s="116" t="str">
        <f t="shared" si="21"/>
        <v/>
      </c>
      <c r="T104" s="117" t="s">
        <v>1101</v>
      </c>
      <c r="U104" s="115" t="s">
        <v>376</v>
      </c>
      <c r="V104" s="115" t="s">
        <v>375</v>
      </c>
      <c r="W104" s="115" t="s">
        <v>861</v>
      </c>
      <c r="X104" s="115" t="s">
        <v>1010</v>
      </c>
      <c r="Y104" s="118">
        <v>2</v>
      </c>
      <c r="Z104" s="118" t="b">
        <f t="shared" si="22"/>
        <v>1</v>
      </c>
      <c r="AA104" s="116" t="b">
        <f t="shared" si="23"/>
        <v>1</v>
      </c>
      <c r="AB104" s="116" t="b">
        <f t="shared" si="24"/>
        <v>0</v>
      </c>
      <c r="AC104" s="116" t="b">
        <f t="shared" si="25"/>
        <v>0</v>
      </c>
      <c r="AD104" s="116" t="b">
        <f t="shared" si="26"/>
        <v>0</v>
      </c>
      <c r="AE104" s="116" t="b">
        <f t="shared" si="27"/>
        <v>0</v>
      </c>
      <c r="AF104" s="116" t="s">
        <v>862</v>
      </c>
      <c r="AG104" s="116" t="s">
        <v>863</v>
      </c>
      <c r="AH104" s="116">
        <v>0.01</v>
      </c>
      <c r="AI104" s="116">
        <v>0.01</v>
      </c>
      <c r="AJ104" s="116"/>
      <c r="AK104" s="116"/>
      <c r="AL104" s="82"/>
      <c r="AM104" s="82"/>
      <c r="AN104" s="82"/>
      <c r="AO104" s="82"/>
      <c r="AP104" s="82"/>
    </row>
    <row r="105" spans="3:42" x14ac:dyDescent="0.25">
      <c r="C105" s="102" t="s">
        <v>975</v>
      </c>
      <c r="D105" s="102" t="s">
        <v>870</v>
      </c>
      <c r="E105" s="102" t="s">
        <v>4</v>
      </c>
      <c r="F105" s="102" t="s">
        <v>859</v>
      </c>
      <c r="G105" s="97">
        <v>9</v>
      </c>
      <c r="H105" s="115" t="s">
        <v>1008</v>
      </c>
      <c r="I105" s="115" t="s">
        <v>75</v>
      </c>
      <c r="J105" s="115"/>
      <c r="K105" s="115"/>
      <c r="L105" s="115"/>
      <c r="M105" s="115"/>
      <c r="N105" s="115" t="s">
        <v>155</v>
      </c>
      <c r="O105" s="115" t="s">
        <v>870</v>
      </c>
      <c r="P105" s="115" t="s">
        <v>1016</v>
      </c>
      <c r="Q105" s="115"/>
      <c r="R105" s="115">
        <v>9</v>
      </c>
      <c r="S105" s="116" t="str">
        <f t="shared" si="21"/>
        <v/>
      </c>
      <c r="T105" s="117" t="s">
        <v>1102</v>
      </c>
      <c r="U105" s="115" t="s">
        <v>438</v>
      </c>
      <c r="V105" s="115" t="s">
        <v>433</v>
      </c>
      <c r="W105" s="115" t="s">
        <v>861</v>
      </c>
      <c r="X105" s="115" t="s">
        <v>1010</v>
      </c>
      <c r="Y105" s="118">
        <v>2</v>
      </c>
      <c r="Z105" s="118" t="b">
        <f t="shared" si="22"/>
        <v>1</v>
      </c>
      <c r="AA105" s="116" t="b">
        <f t="shared" si="23"/>
        <v>0</v>
      </c>
      <c r="AB105" s="116" t="b">
        <f t="shared" si="24"/>
        <v>0</v>
      </c>
      <c r="AC105" s="116" t="b">
        <f t="shared" si="25"/>
        <v>1</v>
      </c>
      <c r="AD105" s="116" t="b">
        <f t="shared" si="26"/>
        <v>0</v>
      </c>
      <c r="AE105" s="116" t="b">
        <f t="shared" si="27"/>
        <v>0</v>
      </c>
      <c r="AF105" s="116" t="s">
        <v>864</v>
      </c>
      <c r="AG105" s="116" t="s">
        <v>865</v>
      </c>
      <c r="AH105" s="116">
        <v>0</v>
      </c>
      <c r="AI105" s="116">
        <v>0</v>
      </c>
      <c r="AJ105" s="116" t="s">
        <v>1127</v>
      </c>
      <c r="AK105" s="116"/>
      <c r="AL105" s="82"/>
      <c r="AM105" s="82"/>
      <c r="AN105" s="82"/>
      <c r="AO105" s="82"/>
      <c r="AP105" s="82"/>
    </row>
    <row r="106" spans="3:42" x14ac:dyDescent="0.25">
      <c r="C106" s="102" t="s">
        <v>976</v>
      </c>
      <c r="D106" s="102" t="s">
        <v>870</v>
      </c>
      <c r="E106" s="102" t="s">
        <v>4</v>
      </c>
      <c r="F106" s="102" t="s">
        <v>859</v>
      </c>
      <c r="G106" s="97">
        <v>6</v>
      </c>
      <c r="H106" s="115" t="s">
        <v>1008</v>
      </c>
      <c r="I106" s="115" t="s">
        <v>236</v>
      </c>
      <c r="J106" s="115"/>
      <c r="K106" s="115"/>
      <c r="L106" s="115"/>
      <c r="M106" s="115"/>
      <c r="N106" s="115" t="s">
        <v>85</v>
      </c>
      <c r="O106" s="115" t="s">
        <v>870</v>
      </c>
      <c r="P106" s="115" t="s">
        <v>4</v>
      </c>
      <c r="Q106" s="115"/>
      <c r="R106" s="115">
        <v>6</v>
      </c>
      <c r="S106" s="116" t="str">
        <f t="shared" si="21"/>
        <v/>
      </c>
      <c r="T106" s="117" t="s">
        <v>1103</v>
      </c>
      <c r="U106" s="115" t="s">
        <v>384</v>
      </c>
      <c r="V106" s="115" t="s">
        <v>378</v>
      </c>
      <c r="W106" s="115" t="s">
        <v>861</v>
      </c>
      <c r="X106" s="115" t="s">
        <v>1010</v>
      </c>
      <c r="Y106" s="118">
        <v>2</v>
      </c>
      <c r="Z106" s="118" t="b">
        <f t="shared" si="22"/>
        <v>1</v>
      </c>
      <c r="AA106" s="116" t="b">
        <f t="shared" si="23"/>
        <v>1</v>
      </c>
      <c r="AB106" s="116" t="b">
        <f t="shared" si="24"/>
        <v>0</v>
      </c>
      <c r="AC106" s="116" t="b">
        <f t="shared" si="25"/>
        <v>0</v>
      </c>
      <c r="AD106" s="116" t="b">
        <f t="shared" si="26"/>
        <v>0</v>
      </c>
      <c r="AE106" s="116" t="b">
        <f t="shared" si="27"/>
        <v>0</v>
      </c>
      <c r="AF106" s="116" t="s">
        <v>862</v>
      </c>
      <c r="AG106" s="116" t="s">
        <v>863</v>
      </c>
      <c r="AH106" s="116">
        <v>0.01</v>
      </c>
      <c r="AI106" s="116">
        <v>0.01</v>
      </c>
      <c r="AJ106" s="116"/>
      <c r="AK106" s="116"/>
      <c r="AL106" s="82"/>
      <c r="AM106" s="82"/>
      <c r="AN106" s="82"/>
      <c r="AO106" s="82"/>
      <c r="AP106" s="82"/>
    </row>
    <row r="107" spans="3:42" x14ac:dyDescent="0.25">
      <c r="C107" s="102" t="s">
        <v>977</v>
      </c>
      <c r="D107" s="102" t="s">
        <v>870</v>
      </c>
      <c r="E107" s="102" t="s">
        <v>4</v>
      </c>
      <c r="F107" s="102" t="s">
        <v>859</v>
      </c>
      <c r="G107" s="97">
        <v>6</v>
      </c>
      <c r="H107" s="115" t="s">
        <v>1008</v>
      </c>
      <c r="I107" s="115" t="s">
        <v>75</v>
      </c>
      <c r="J107" s="115"/>
      <c r="K107" s="115"/>
      <c r="L107" s="115"/>
      <c r="M107" s="115"/>
      <c r="N107" s="115" t="s">
        <v>155</v>
      </c>
      <c r="O107" s="115" t="s">
        <v>870</v>
      </c>
      <c r="P107" s="115" t="s">
        <v>4</v>
      </c>
      <c r="Q107" s="115"/>
      <c r="R107" s="115">
        <v>6</v>
      </c>
      <c r="S107" s="116" t="str">
        <f t="shared" si="21"/>
        <v/>
      </c>
      <c r="T107" s="117" t="s">
        <v>1104</v>
      </c>
      <c r="U107" s="115" t="s">
        <v>376</v>
      </c>
      <c r="V107" s="115" t="s">
        <v>375</v>
      </c>
      <c r="W107" s="115" t="s">
        <v>861</v>
      </c>
      <c r="X107" s="115" t="s">
        <v>1010</v>
      </c>
      <c r="Y107" s="118">
        <v>2</v>
      </c>
      <c r="Z107" s="118" t="b">
        <f t="shared" si="22"/>
        <v>1</v>
      </c>
      <c r="AA107" s="116" t="b">
        <f t="shared" si="23"/>
        <v>0</v>
      </c>
      <c r="AB107" s="116" t="b">
        <f t="shared" si="24"/>
        <v>0</v>
      </c>
      <c r="AC107" s="116" t="b">
        <f t="shared" si="25"/>
        <v>0</v>
      </c>
      <c r="AD107" s="116" t="b">
        <f t="shared" si="26"/>
        <v>0</v>
      </c>
      <c r="AE107" s="116" t="b">
        <f t="shared" si="27"/>
        <v>0</v>
      </c>
      <c r="AF107" s="116" t="s">
        <v>864</v>
      </c>
      <c r="AG107" s="116" t="s">
        <v>865</v>
      </c>
      <c r="AH107" s="116">
        <v>0</v>
      </c>
      <c r="AI107" s="116">
        <v>0</v>
      </c>
      <c r="AJ107" s="116" t="s">
        <v>1127</v>
      </c>
      <c r="AK107" s="116"/>
      <c r="AL107" s="82"/>
      <c r="AM107" s="82"/>
      <c r="AN107" s="82"/>
      <c r="AO107" s="82"/>
      <c r="AP107" s="82"/>
    </row>
    <row r="108" spans="3:42" x14ac:dyDescent="0.25">
      <c r="C108" s="102" t="s">
        <v>978</v>
      </c>
      <c r="D108" s="102" t="s">
        <v>870</v>
      </c>
      <c r="E108" s="102" t="s">
        <v>4</v>
      </c>
      <c r="F108" s="102" t="s">
        <v>859</v>
      </c>
      <c r="G108" s="97">
        <v>6</v>
      </c>
      <c r="H108" s="115" t="s">
        <v>1008</v>
      </c>
      <c r="I108" s="115" t="s">
        <v>75</v>
      </c>
      <c r="J108" s="115"/>
      <c r="K108" s="115"/>
      <c r="L108" s="115"/>
      <c r="M108" s="115"/>
      <c r="N108" s="115" t="s">
        <v>155</v>
      </c>
      <c r="O108" s="115" t="s">
        <v>870</v>
      </c>
      <c r="P108" s="115" t="s">
        <v>4</v>
      </c>
      <c r="Q108" s="115"/>
      <c r="R108" s="115">
        <v>6</v>
      </c>
      <c r="S108" s="116" t="str">
        <f t="shared" si="21"/>
        <v/>
      </c>
      <c r="T108" s="117" t="s">
        <v>1081</v>
      </c>
      <c r="U108" s="115" t="s">
        <v>356</v>
      </c>
      <c r="V108" s="115" t="s">
        <v>10</v>
      </c>
      <c r="W108" s="115" t="s">
        <v>861</v>
      </c>
      <c r="X108" s="115" t="s">
        <v>1010</v>
      </c>
      <c r="Y108" s="118">
        <v>2</v>
      </c>
      <c r="Z108" s="118" t="b">
        <f t="shared" si="22"/>
        <v>1</v>
      </c>
      <c r="AA108" s="116" t="b">
        <f t="shared" si="23"/>
        <v>0</v>
      </c>
      <c r="AB108" s="116" t="b">
        <f t="shared" si="24"/>
        <v>0</v>
      </c>
      <c r="AC108" s="116" t="b">
        <f t="shared" si="25"/>
        <v>0</v>
      </c>
      <c r="AD108" s="116" t="b">
        <f t="shared" si="26"/>
        <v>0</v>
      </c>
      <c r="AE108" s="116" t="b">
        <f t="shared" si="27"/>
        <v>0</v>
      </c>
      <c r="AF108" s="116" t="s">
        <v>864</v>
      </c>
      <c r="AG108" s="116" t="s">
        <v>865</v>
      </c>
      <c r="AH108" s="116">
        <v>0</v>
      </c>
      <c r="AI108" s="116">
        <v>0</v>
      </c>
      <c r="AJ108" s="116" t="s">
        <v>1127</v>
      </c>
      <c r="AK108" s="116"/>
      <c r="AL108" s="82"/>
      <c r="AM108" s="82"/>
      <c r="AN108" s="82"/>
      <c r="AO108" s="82"/>
      <c r="AP108" s="82"/>
    </row>
    <row r="109" spans="3:42" x14ac:dyDescent="0.25">
      <c r="C109" s="102" t="s">
        <v>979</v>
      </c>
      <c r="D109" s="102" t="s">
        <v>871</v>
      </c>
      <c r="E109" s="102" t="s">
        <v>3</v>
      </c>
      <c r="F109" s="102" t="s">
        <v>859</v>
      </c>
      <c r="G109" s="97">
        <v>6</v>
      </c>
      <c r="H109" s="115" t="s">
        <v>1008</v>
      </c>
      <c r="I109" s="115" t="s">
        <v>236</v>
      </c>
      <c r="J109" s="115"/>
      <c r="K109" s="115"/>
      <c r="L109" s="115"/>
      <c r="M109" s="115"/>
      <c r="N109" s="115" t="s">
        <v>89</v>
      </c>
      <c r="O109" s="115" t="s">
        <v>871</v>
      </c>
      <c r="P109" s="115" t="s">
        <v>3</v>
      </c>
      <c r="Q109" s="115"/>
      <c r="R109" s="115">
        <v>6</v>
      </c>
      <c r="S109" s="116" t="str">
        <f t="shared" si="21"/>
        <v/>
      </c>
      <c r="T109" s="117" t="s">
        <v>1105</v>
      </c>
      <c r="U109" s="115" t="s">
        <v>352</v>
      </c>
      <c r="V109" s="115" t="s">
        <v>12</v>
      </c>
      <c r="W109" s="115" t="s">
        <v>861</v>
      </c>
      <c r="X109" s="115" t="s">
        <v>1010</v>
      </c>
      <c r="Y109" s="118">
        <v>2</v>
      </c>
      <c r="Z109" s="118" t="b">
        <f t="shared" si="22"/>
        <v>1</v>
      </c>
      <c r="AA109" s="116" t="b">
        <f t="shared" si="23"/>
        <v>1</v>
      </c>
      <c r="AB109" s="116" t="b">
        <f t="shared" si="24"/>
        <v>0</v>
      </c>
      <c r="AC109" s="116" t="b">
        <f t="shared" si="25"/>
        <v>0</v>
      </c>
      <c r="AD109" s="116" t="b">
        <f t="shared" si="26"/>
        <v>0</v>
      </c>
      <c r="AE109" s="116" t="b">
        <f t="shared" si="27"/>
        <v>0</v>
      </c>
      <c r="AF109" s="116" t="s">
        <v>862</v>
      </c>
      <c r="AG109" s="116" t="s">
        <v>863</v>
      </c>
      <c r="AH109" s="116">
        <v>0.01</v>
      </c>
      <c r="AI109" s="116">
        <v>0.01</v>
      </c>
      <c r="AJ109" s="116"/>
      <c r="AK109" s="116"/>
      <c r="AL109" s="82"/>
      <c r="AM109" s="82"/>
      <c r="AN109" s="82"/>
      <c r="AO109" s="82"/>
      <c r="AP109" s="82"/>
    </row>
    <row r="110" spans="3:42" x14ac:dyDescent="0.25">
      <c r="C110" s="102" t="s">
        <v>980</v>
      </c>
      <c r="D110" s="102" t="s">
        <v>870</v>
      </c>
      <c r="E110" s="102" t="s">
        <v>4</v>
      </c>
      <c r="F110" s="102" t="s">
        <v>859</v>
      </c>
      <c r="G110" s="97">
        <v>6</v>
      </c>
      <c r="H110" s="115" t="s">
        <v>1008</v>
      </c>
      <c r="I110" s="115" t="s">
        <v>75</v>
      </c>
      <c r="J110" s="115"/>
      <c r="K110" s="115"/>
      <c r="L110" s="115"/>
      <c r="M110" s="115"/>
      <c r="N110" s="115" t="s">
        <v>155</v>
      </c>
      <c r="O110" s="115" t="s">
        <v>870</v>
      </c>
      <c r="P110" s="115" t="s">
        <v>4</v>
      </c>
      <c r="Q110" s="115"/>
      <c r="R110" s="115">
        <v>6</v>
      </c>
      <c r="S110" s="116" t="str">
        <f t="shared" si="21"/>
        <v/>
      </c>
      <c r="T110" s="117" t="s">
        <v>1106</v>
      </c>
      <c r="U110" s="115" t="s">
        <v>9</v>
      </c>
      <c r="V110" s="115" t="s">
        <v>378</v>
      </c>
      <c r="W110" s="115" t="s">
        <v>861</v>
      </c>
      <c r="X110" s="115" t="s">
        <v>1010</v>
      </c>
      <c r="Y110" s="118">
        <v>2</v>
      </c>
      <c r="Z110" s="118" t="b">
        <f t="shared" si="22"/>
        <v>1</v>
      </c>
      <c r="AA110" s="116" t="b">
        <f t="shared" si="23"/>
        <v>0</v>
      </c>
      <c r="AB110" s="116" t="b">
        <f t="shared" si="24"/>
        <v>0</v>
      </c>
      <c r="AC110" s="116" t="b">
        <f t="shared" si="25"/>
        <v>0</v>
      </c>
      <c r="AD110" s="116" t="b">
        <f t="shared" si="26"/>
        <v>0</v>
      </c>
      <c r="AE110" s="116" t="b">
        <f t="shared" si="27"/>
        <v>0</v>
      </c>
      <c r="AF110" s="116" t="s">
        <v>864</v>
      </c>
      <c r="AG110" s="116" t="s">
        <v>865</v>
      </c>
      <c r="AH110" s="116">
        <v>0</v>
      </c>
      <c r="AI110" s="116">
        <v>0</v>
      </c>
      <c r="AJ110" s="116" t="s">
        <v>1127</v>
      </c>
      <c r="AK110" s="116"/>
      <c r="AL110" s="82"/>
      <c r="AM110" s="82"/>
      <c r="AN110" s="82"/>
      <c r="AO110" s="82"/>
      <c r="AP110" s="82"/>
    </row>
    <row r="111" spans="3:42" x14ac:dyDescent="0.25">
      <c r="C111" s="102" t="s">
        <v>981</v>
      </c>
      <c r="D111" s="102" t="s">
        <v>871</v>
      </c>
      <c r="E111" s="102" t="s">
        <v>4</v>
      </c>
      <c r="F111" s="102" t="s">
        <v>859</v>
      </c>
      <c r="G111" s="97">
        <v>9</v>
      </c>
      <c r="H111" s="115" t="s">
        <v>1008</v>
      </c>
      <c r="I111" s="115" t="s">
        <v>236</v>
      </c>
      <c r="J111" s="115"/>
      <c r="K111" s="115"/>
      <c r="L111" s="115"/>
      <c r="M111" s="115"/>
      <c r="N111" s="115" t="s">
        <v>89</v>
      </c>
      <c r="O111" s="115" t="s">
        <v>871</v>
      </c>
      <c r="P111" s="115" t="s">
        <v>3</v>
      </c>
      <c r="Q111" s="115"/>
      <c r="R111" s="115">
        <v>9</v>
      </c>
      <c r="S111" s="116" t="str">
        <f t="shared" si="21"/>
        <v/>
      </c>
      <c r="T111" s="117" t="s">
        <v>1107</v>
      </c>
      <c r="U111" s="115" t="s">
        <v>415</v>
      </c>
      <c r="V111" s="115" t="s">
        <v>412</v>
      </c>
      <c r="W111" s="115" t="s">
        <v>861</v>
      </c>
      <c r="X111" s="115" t="s">
        <v>1010</v>
      </c>
      <c r="Y111" s="118">
        <v>2</v>
      </c>
      <c r="Z111" s="118" t="b">
        <f t="shared" si="22"/>
        <v>1</v>
      </c>
      <c r="AA111" s="116" t="b">
        <f t="shared" si="23"/>
        <v>1</v>
      </c>
      <c r="AB111" s="116" t="b">
        <f t="shared" si="24"/>
        <v>0</v>
      </c>
      <c r="AC111" s="116" t="b">
        <f t="shared" si="25"/>
        <v>1</v>
      </c>
      <c r="AD111" s="116" t="b">
        <f t="shared" si="26"/>
        <v>0</v>
      </c>
      <c r="AE111" s="116" t="b">
        <f t="shared" si="27"/>
        <v>0</v>
      </c>
      <c r="AF111" s="116" t="s">
        <v>862</v>
      </c>
      <c r="AG111" s="116" t="s">
        <v>863</v>
      </c>
      <c r="AH111" s="116">
        <v>0.01</v>
      </c>
      <c r="AI111" s="116">
        <v>0.01</v>
      </c>
      <c r="AJ111" s="116"/>
      <c r="AK111" s="116"/>
      <c r="AL111" s="82"/>
      <c r="AM111" s="82"/>
      <c r="AN111" s="82"/>
      <c r="AO111" s="82"/>
      <c r="AP111" s="82"/>
    </row>
    <row r="112" spans="3:42" x14ac:dyDescent="0.25">
      <c r="C112" s="102" t="s">
        <v>982</v>
      </c>
      <c r="D112" s="102" t="s">
        <v>870</v>
      </c>
      <c r="E112" s="102" t="s">
        <v>4</v>
      </c>
      <c r="F112" s="102" t="s">
        <v>859</v>
      </c>
      <c r="G112" s="97">
        <v>6</v>
      </c>
      <c r="H112" s="115" t="s">
        <v>1008</v>
      </c>
      <c r="I112" s="115" t="s">
        <v>75</v>
      </c>
      <c r="J112" s="115"/>
      <c r="K112" s="115"/>
      <c r="L112" s="115"/>
      <c r="M112" s="115"/>
      <c r="N112" s="115" t="s">
        <v>155</v>
      </c>
      <c r="O112" s="115" t="s">
        <v>870</v>
      </c>
      <c r="P112" s="115" t="s">
        <v>4</v>
      </c>
      <c r="Q112" s="115"/>
      <c r="R112" s="115">
        <v>6</v>
      </c>
      <c r="S112" s="116" t="str">
        <f t="shared" si="21"/>
        <v/>
      </c>
      <c r="T112" s="117" t="s">
        <v>1108</v>
      </c>
      <c r="U112" s="115" t="s">
        <v>413</v>
      </c>
      <c r="V112" s="115" t="s">
        <v>412</v>
      </c>
      <c r="W112" s="115" t="s">
        <v>861</v>
      </c>
      <c r="X112" s="115" t="s">
        <v>1010</v>
      </c>
      <c r="Y112" s="118">
        <v>2</v>
      </c>
      <c r="Z112" s="118" t="b">
        <f t="shared" si="22"/>
        <v>1</v>
      </c>
      <c r="AA112" s="116" t="b">
        <f t="shared" si="23"/>
        <v>0</v>
      </c>
      <c r="AB112" s="116" t="b">
        <f t="shared" si="24"/>
        <v>0</v>
      </c>
      <c r="AC112" s="116" t="b">
        <f t="shared" si="25"/>
        <v>0</v>
      </c>
      <c r="AD112" s="116" t="b">
        <f t="shared" si="26"/>
        <v>0</v>
      </c>
      <c r="AE112" s="116" t="b">
        <f t="shared" si="27"/>
        <v>0</v>
      </c>
      <c r="AF112" s="116" t="s">
        <v>864</v>
      </c>
      <c r="AG112" s="116" t="s">
        <v>865</v>
      </c>
      <c r="AH112" s="116">
        <v>0</v>
      </c>
      <c r="AI112" s="116">
        <v>0</v>
      </c>
      <c r="AJ112" s="116" t="s">
        <v>1127</v>
      </c>
      <c r="AK112" s="116"/>
      <c r="AL112" s="82"/>
      <c r="AM112" s="82"/>
      <c r="AN112" s="82"/>
      <c r="AO112" s="82"/>
      <c r="AP112" s="82"/>
    </row>
    <row r="113" spans="3:42" x14ac:dyDescent="0.25">
      <c r="C113" s="102" t="s">
        <v>983</v>
      </c>
      <c r="D113" s="102" t="s">
        <v>870</v>
      </c>
      <c r="E113" s="102" t="s">
        <v>4</v>
      </c>
      <c r="F113" s="102" t="s">
        <v>859</v>
      </c>
      <c r="G113" s="97">
        <v>6</v>
      </c>
      <c r="H113" s="115" t="s">
        <v>1008</v>
      </c>
      <c r="I113" s="115" t="s">
        <v>2</v>
      </c>
      <c r="J113" s="115"/>
      <c r="K113" s="115"/>
      <c r="L113" s="115"/>
      <c r="M113" s="115"/>
      <c r="N113" s="115" t="s">
        <v>93</v>
      </c>
      <c r="O113" s="115" t="s">
        <v>870</v>
      </c>
      <c r="P113" s="115" t="s">
        <v>3</v>
      </c>
      <c r="Q113" s="115"/>
      <c r="R113" s="115">
        <v>6</v>
      </c>
      <c r="S113" s="116" t="str">
        <f t="shared" si="21"/>
        <v/>
      </c>
      <c r="T113" s="117" t="s">
        <v>1109</v>
      </c>
      <c r="U113" s="115" t="s">
        <v>356</v>
      </c>
      <c r="V113" s="115" t="s">
        <v>10</v>
      </c>
      <c r="W113" s="115" t="s">
        <v>861</v>
      </c>
      <c r="X113" s="115" t="s">
        <v>1010</v>
      </c>
      <c r="Y113" s="118">
        <v>2</v>
      </c>
      <c r="Z113" s="118" t="b">
        <f t="shared" si="22"/>
        <v>1</v>
      </c>
      <c r="AA113" s="116" t="b">
        <f t="shared" si="23"/>
        <v>1</v>
      </c>
      <c r="AB113" s="116" t="b">
        <f t="shared" si="24"/>
        <v>0</v>
      </c>
      <c r="AC113" s="116" t="b">
        <f t="shared" si="25"/>
        <v>1</v>
      </c>
      <c r="AD113" s="116" t="b">
        <f t="shared" si="26"/>
        <v>0</v>
      </c>
      <c r="AE113" s="116" t="b">
        <f t="shared" si="27"/>
        <v>0</v>
      </c>
      <c r="AF113" s="116" t="s">
        <v>862</v>
      </c>
      <c r="AG113" s="116" t="s">
        <v>863</v>
      </c>
      <c r="AH113" s="116">
        <v>0.01</v>
      </c>
      <c r="AI113" s="116">
        <v>0.01</v>
      </c>
      <c r="AJ113" s="116"/>
      <c r="AK113" s="116"/>
      <c r="AL113" s="82"/>
      <c r="AM113" s="82"/>
      <c r="AN113" s="82"/>
      <c r="AO113" s="82"/>
      <c r="AP113" s="82"/>
    </row>
    <row r="114" spans="3:42" x14ac:dyDescent="0.25">
      <c r="C114" s="102" t="s">
        <v>984</v>
      </c>
      <c r="D114" s="102" t="s">
        <v>870</v>
      </c>
      <c r="E114" s="102" t="s">
        <v>4</v>
      </c>
      <c r="F114" s="102" t="s">
        <v>859</v>
      </c>
      <c r="G114" s="97">
        <v>6</v>
      </c>
      <c r="H114" s="115" t="s">
        <v>1008</v>
      </c>
      <c r="I114" s="115" t="s">
        <v>236</v>
      </c>
      <c r="J114" s="115"/>
      <c r="K114" s="115"/>
      <c r="L114" s="115"/>
      <c r="M114" s="115"/>
      <c r="N114" s="115" t="s">
        <v>85</v>
      </c>
      <c r="O114" s="115" t="s">
        <v>870</v>
      </c>
      <c r="P114" s="115" t="s">
        <v>4</v>
      </c>
      <c r="Q114" s="115"/>
      <c r="R114" s="115">
        <v>6</v>
      </c>
      <c r="S114" s="116" t="str">
        <f t="shared" si="21"/>
        <v/>
      </c>
      <c r="T114" s="117" t="s">
        <v>1110</v>
      </c>
      <c r="U114" s="115" t="s">
        <v>411</v>
      </c>
      <c r="V114" s="115" t="s">
        <v>412</v>
      </c>
      <c r="W114" s="115" t="s">
        <v>861</v>
      </c>
      <c r="X114" s="115" t="s">
        <v>1010</v>
      </c>
      <c r="Y114" s="118">
        <v>2</v>
      </c>
      <c r="Z114" s="118" t="b">
        <f t="shared" si="22"/>
        <v>1</v>
      </c>
      <c r="AA114" s="116" t="b">
        <f t="shared" si="23"/>
        <v>1</v>
      </c>
      <c r="AB114" s="116" t="b">
        <f t="shared" si="24"/>
        <v>0</v>
      </c>
      <c r="AC114" s="116" t="b">
        <f t="shared" si="25"/>
        <v>0</v>
      </c>
      <c r="AD114" s="116" t="b">
        <f t="shared" si="26"/>
        <v>0</v>
      </c>
      <c r="AE114" s="116" t="b">
        <f t="shared" si="27"/>
        <v>0</v>
      </c>
      <c r="AF114" s="116" t="s">
        <v>862</v>
      </c>
      <c r="AG114" s="116" t="s">
        <v>863</v>
      </c>
      <c r="AH114" s="116">
        <v>0.01</v>
      </c>
      <c r="AI114" s="116">
        <v>0.01</v>
      </c>
      <c r="AJ114" s="116"/>
      <c r="AK114" s="116"/>
      <c r="AL114" s="82"/>
      <c r="AM114" s="82"/>
      <c r="AN114" s="82"/>
      <c r="AO114" s="82"/>
      <c r="AP114" s="82"/>
    </row>
    <row r="115" spans="3:42" x14ac:dyDescent="0.25">
      <c r="C115" s="102" t="s">
        <v>985</v>
      </c>
      <c r="D115" s="102" t="s">
        <v>870</v>
      </c>
      <c r="E115" s="102" t="s">
        <v>4</v>
      </c>
      <c r="F115" s="102" t="s">
        <v>859</v>
      </c>
      <c r="G115" s="97">
        <v>6</v>
      </c>
      <c r="H115" s="115" t="s">
        <v>1008</v>
      </c>
      <c r="I115" s="115" t="s">
        <v>236</v>
      </c>
      <c r="J115" s="115"/>
      <c r="K115" s="115"/>
      <c r="L115" s="115"/>
      <c r="M115" s="115"/>
      <c r="N115" s="115" t="s">
        <v>85</v>
      </c>
      <c r="O115" s="115" t="s">
        <v>870</v>
      </c>
      <c r="P115" s="115" t="s">
        <v>1016</v>
      </c>
      <c r="Q115" s="115"/>
      <c r="R115" s="115">
        <v>6</v>
      </c>
      <c r="S115" s="116" t="str">
        <f t="shared" si="21"/>
        <v/>
      </c>
      <c r="T115" s="117" t="s">
        <v>1111</v>
      </c>
      <c r="U115" s="115" t="s">
        <v>411</v>
      </c>
      <c r="V115" s="115" t="s">
        <v>412</v>
      </c>
      <c r="W115" s="115" t="s">
        <v>861</v>
      </c>
      <c r="X115" s="115" t="s">
        <v>1010</v>
      </c>
      <c r="Y115" s="118">
        <v>2</v>
      </c>
      <c r="Z115" s="118" t="b">
        <f t="shared" si="22"/>
        <v>1</v>
      </c>
      <c r="AA115" s="116" t="b">
        <f t="shared" si="23"/>
        <v>1</v>
      </c>
      <c r="AB115" s="116" t="b">
        <f t="shared" si="24"/>
        <v>0</v>
      </c>
      <c r="AC115" s="116" t="b">
        <f t="shared" si="25"/>
        <v>1</v>
      </c>
      <c r="AD115" s="116" t="b">
        <f t="shared" si="26"/>
        <v>0</v>
      </c>
      <c r="AE115" s="116" t="b">
        <f t="shared" si="27"/>
        <v>0</v>
      </c>
      <c r="AF115" s="116" t="s">
        <v>862</v>
      </c>
      <c r="AG115" s="116" t="s">
        <v>863</v>
      </c>
      <c r="AH115" s="116">
        <v>0.01</v>
      </c>
      <c r="AI115" s="116">
        <v>0.01</v>
      </c>
      <c r="AJ115" s="116"/>
      <c r="AK115" s="116"/>
      <c r="AL115" s="82"/>
      <c r="AM115" s="82"/>
      <c r="AN115" s="82"/>
      <c r="AO115" s="82"/>
      <c r="AP115" s="82"/>
    </row>
    <row r="116" spans="3:42" x14ac:dyDescent="0.25">
      <c r="C116" s="102" t="s">
        <v>986</v>
      </c>
      <c r="D116" s="102" t="s">
        <v>871</v>
      </c>
      <c r="E116" s="102" t="s">
        <v>3</v>
      </c>
      <c r="F116" s="102" t="s">
        <v>859</v>
      </c>
      <c r="G116" s="97">
        <v>9</v>
      </c>
      <c r="H116" s="115" t="s">
        <v>1008</v>
      </c>
      <c r="I116" s="115" t="s">
        <v>47</v>
      </c>
      <c r="J116" s="115"/>
      <c r="K116" s="115"/>
      <c r="L116" s="115"/>
      <c r="M116" s="115"/>
      <c r="N116" s="115" t="s">
        <v>203</v>
      </c>
      <c r="O116" s="115" t="s">
        <v>871</v>
      </c>
      <c r="P116" s="115" t="s">
        <v>3</v>
      </c>
      <c r="Q116" s="115"/>
      <c r="R116" s="115">
        <v>9</v>
      </c>
      <c r="S116" s="116" t="str">
        <f t="shared" si="21"/>
        <v/>
      </c>
      <c r="T116" s="117" t="s">
        <v>1112</v>
      </c>
      <c r="U116" s="115" t="s">
        <v>349</v>
      </c>
      <c r="V116" s="115" t="s">
        <v>12</v>
      </c>
      <c r="W116" s="115" t="s">
        <v>861</v>
      </c>
      <c r="X116" s="115" t="s">
        <v>1010</v>
      </c>
      <c r="Y116" s="118">
        <v>2</v>
      </c>
      <c r="Z116" s="118" t="b">
        <f t="shared" si="22"/>
        <v>1</v>
      </c>
      <c r="AA116" s="116" t="b">
        <f t="shared" si="23"/>
        <v>1</v>
      </c>
      <c r="AB116" s="116" t="b">
        <f t="shared" si="24"/>
        <v>0</v>
      </c>
      <c r="AC116" s="116" t="b">
        <f t="shared" si="25"/>
        <v>0</v>
      </c>
      <c r="AD116" s="116" t="b">
        <f t="shared" si="26"/>
        <v>0</v>
      </c>
      <c r="AE116" s="116" t="b">
        <f t="shared" si="27"/>
        <v>0</v>
      </c>
      <c r="AF116" s="116" t="s">
        <v>862</v>
      </c>
      <c r="AG116" s="116" t="s">
        <v>863</v>
      </c>
      <c r="AH116" s="116">
        <v>0.01</v>
      </c>
      <c r="AI116" s="116">
        <v>0.01</v>
      </c>
      <c r="AJ116" s="116"/>
      <c r="AK116" s="116"/>
      <c r="AL116" s="82"/>
      <c r="AM116" s="82"/>
      <c r="AN116" s="82"/>
      <c r="AO116" s="82"/>
      <c r="AP116" s="82"/>
    </row>
    <row r="117" spans="3:42" x14ac:dyDescent="0.25">
      <c r="C117" s="102" t="s">
        <v>987</v>
      </c>
      <c r="D117" s="102" t="s">
        <v>871</v>
      </c>
      <c r="E117" s="102" t="s">
        <v>4</v>
      </c>
      <c r="F117" s="102" t="s">
        <v>859</v>
      </c>
      <c r="G117" s="97">
        <v>12</v>
      </c>
      <c r="H117" s="115" t="s">
        <v>1008</v>
      </c>
      <c r="I117" s="115" t="s">
        <v>75</v>
      </c>
      <c r="J117" s="115"/>
      <c r="K117" s="115"/>
      <c r="L117" s="115"/>
      <c r="M117" s="115"/>
      <c r="N117" s="115" t="s">
        <v>150</v>
      </c>
      <c r="O117" s="115" t="s">
        <v>871</v>
      </c>
      <c r="P117" s="115" t="s">
        <v>3</v>
      </c>
      <c r="Q117" s="115"/>
      <c r="R117" s="115">
        <v>12</v>
      </c>
      <c r="S117" s="116" t="str">
        <f t="shared" si="21"/>
        <v/>
      </c>
      <c r="T117" s="117" t="s">
        <v>1113</v>
      </c>
      <c r="U117" s="115" t="s">
        <v>349</v>
      </c>
      <c r="V117" s="115" t="s">
        <v>12</v>
      </c>
      <c r="W117" s="115" t="s">
        <v>861</v>
      </c>
      <c r="X117" s="115" t="s">
        <v>1010</v>
      </c>
      <c r="Y117" s="118">
        <v>2</v>
      </c>
      <c r="Z117" s="118" t="b">
        <f t="shared" si="22"/>
        <v>1</v>
      </c>
      <c r="AA117" s="116" t="b">
        <f t="shared" si="23"/>
        <v>0</v>
      </c>
      <c r="AB117" s="116" t="b">
        <f t="shared" si="24"/>
        <v>0</v>
      </c>
      <c r="AC117" s="116" t="b">
        <f t="shared" si="25"/>
        <v>1</v>
      </c>
      <c r="AD117" s="116" t="b">
        <f t="shared" si="26"/>
        <v>0</v>
      </c>
      <c r="AE117" s="116" t="b">
        <f t="shared" si="27"/>
        <v>0</v>
      </c>
      <c r="AF117" s="116" t="s">
        <v>864</v>
      </c>
      <c r="AG117" s="116" t="s">
        <v>865</v>
      </c>
      <c r="AH117" s="116">
        <v>0</v>
      </c>
      <c r="AI117" s="116">
        <v>0</v>
      </c>
      <c r="AJ117" s="116" t="s">
        <v>1127</v>
      </c>
      <c r="AK117" s="116"/>
      <c r="AL117" s="82"/>
      <c r="AM117" s="82"/>
      <c r="AN117" s="82"/>
      <c r="AO117" s="82"/>
      <c r="AP117" s="82"/>
    </row>
    <row r="118" spans="3:42" x14ac:dyDescent="0.25">
      <c r="C118" s="102" t="s">
        <v>988</v>
      </c>
      <c r="D118" s="102" t="s">
        <v>871</v>
      </c>
      <c r="E118" s="102" t="s">
        <v>4</v>
      </c>
      <c r="F118" s="102" t="s">
        <v>859</v>
      </c>
      <c r="G118" s="97">
        <v>12</v>
      </c>
      <c r="H118" s="115" t="s">
        <v>1008</v>
      </c>
      <c r="I118" s="115" t="s">
        <v>236</v>
      </c>
      <c r="J118" s="115"/>
      <c r="K118" s="115"/>
      <c r="L118" s="115"/>
      <c r="M118" s="115"/>
      <c r="N118" s="115" t="s">
        <v>89</v>
      </c>
      <c r="O118" s="115" t="s">
        <v>871</v>
      </c>
      <c r="P118" s="115" t="s">
        <v>3</v>
      </c>
      <c r="Q118" s="115"/>
      <c r="R118" s="115">
        <v>12</v>
      </c>
      <c r="S118" s="116" t="str">
        <f t="shared" si="21"/>
        <v/>
      </c>
      <c r="T118" s="117" t="s">
        <v>1114</v>
      </c>
      <c r="U118" s="115" t="s">
        <v>350</v>
      </c>
      <c r="V118" s="115" t="s">
        <v>12</v>
      </c>
      <c r="W118" s="115" t="s">
        <v>861</v>
      </c>
      <c r="X118" s="115" t="s">
        <v>1010</v>
      </c>
      <c r="Y118" s="118">
        <v>2</v>
      </c>
      <c r="Z118" s="118" t="b">
        <f t="shared" si="22"/>
        <v>1</v>
      </c>
      <c r="AA118" s="116" t="b">
        <f t="shared" si="23"/>
        <v>1</v>
      </c>
      <c r="AB118" s="116" t="b">
        <f t="shared" si="24"/>
        <v>0</v>
      </c>
      <c r="AC118" s="116" t="b">
        <f t="shared" si="25"/>
        <v>1</v>
      </c>
      <c r="AD118" s="116" t="b">
        <f t="shared" si="26"/>
        <v>0</v>
      </c>
      <c r="AE118" s="116" t="b">
        <f t="shared" si="27"/>
        <v>0</v>
      </c>
      <c r="AF118" s="116" t="s">
        <v>862</v>
      </c>
      <c r="AG118" s="116" t="s">
        <v>863</v>
      </c>
      <c r="AH118" s="116">
        <v>0.01</v>
      </c>
      <c r="AI118" s="116">
        <v>0.01</v>
      </c>
      <c r="AJ118" s="116"/>
      <c r="AK118" s="116"/>
      <c r="AL118" s="82"/>
      <c r="AM118" s="82"/>
      <c r="AN118" s="82"/>
      <c r="AO118" s="82"/>
      <c r="AP118" s="82"/>
    </row>
    <row r="119" spans="3:42" x14ac:dyDescent="0.25">
      <c r="C119" s="102" t="s">
        <v>989</v>
      </c>
      <c r="D119" s="102" t="s">
        <v>870</v>
      </c>
      <c r="E119" s="102" t="s">
        <v>4</v>
      </c>
      <c r="F119" s="102" t="s">
        <v>859</v>
      </c>
      <c r="G119" s="97">
        <v>9</v>
      </c>
      <c r="H119" s="115" t="s">
        <v>1008</v>
      </c>
      <c r="I119" s="115" t="s">
        <v>47</v>
      </c>
      <c r="J119" s="115"/>
      <c r="K119" s="115"/>
      <c r="L119" s="115"/>
      <c r="M119" s="115"/>
      <c r="N119" s="115" t="s">
        <v>203</v>
      </c>
      <c r="O119" s="115" t="s">
        <v>871</v>
      </c>
      <c r="P119" s="115" t="s">
        <v>4</v>
      </c>
      <c r="Q119" s="115"/>
      <c r="R119" s="115">
        <v>9</v>
      </c>
      <c r="S119" s="116" t="str">
        <f t="shared" si="21"/>
        <v/>
      </c>
      <c r="T119" s="117" t="s">
        <v>1115</v>
      </c>
      <c r="U119" s="115" t="s">
        <v>394</v>
      </c>
      <c r="V119" s="115" t="s">
        <v>392</v>
      </c>
      <c r="W119" s="115" t="s">
        <v>861</v>
      </c>
      <c r="X119" s="115" t="s">
        <v>1062</v>
      </c>
      <c r="Y119" s="118">
        <v>0</v>
      </c>
      <c r="Z119" s="118" t="b">
        <f t="shared" si="22"/>
        <v>0</v>
      </c>
      <c r="AA119" s="116" t="b">
        <f t="shared" si="23"/>
        <v>1</v>
      </c>
      <c r="AB119" s="116" t="b">
        <f t="shared" si="24"/>
        <v>1</v>
      </c>
      <c r="AC119" s="116" t="b">
        <f t="shared" si="25"/>
        <v>0</v>
      </c>
      <c r="AD119" s="116" t="b">
        <f t="shared" si="26"/>
        <v>0</v>
      </c>
      <c r="AE119" s="116" t="b">
        <f t="shared" si="27"/>
        <v>0</v>
      </c>
      <c r="AF119" s="116" t="s">
        <v>862</v>
      </c>
      <c r="AG119" s="116" t="s">
        <v>876</v>
      </c>
      <c r="AH119" s="116">
        <v>0.01</v>
      </c>
      <c r="AI119" s="116">
        <v>1</v>
      </c>
      <c r="AJ119" s="116"/>
      <c r="AK119" s="116" t="s">
        <v>1128</v>
      </c>
      <c r="AL119" s="82"/>
      <c r="AM119" s="82"/>
      <c r="AN119" s="82"/>
      <c r="AO119" s="82"/>
      <c r="AP119" s="82"/>
    </row>
    <row r="120" spans="3:42" x14ac:dyDescent="0.25">
      <c r="C120" s="102" t="s">
        <v>990</v>
      </c>
      <c r="D120" s="102" t="s">
        <v>871</v>
      </c>
      <c r="E120" s="102" t="s">
        <v>3</v>
      </c>
      <c r="F120" s="102" t="s">
        <v>859</v>
      </c>
      <c r="G120" s="97">
        <v>6</v>
      </c>
      <c r="H120" s="115" t="s">
        <v>1008</v>
      </c>
      <c r="I120" s="115" t="s">
        <v>75</v>
      </c>
      <c r="J120" s="115"/>
      <c r="K120" s="115"/>
      <c r="L120" s="115"/>
      <c r="M120" s="115"/>
      <c r="N120" s="115" t="s">
        <v>150</v>
      </c>
      <c r="O120" s="115" t="s">
        <v>871</v>
      </c>
      <c r="P120" s="115" t="s">
        <v>3</v>
      </c>
      <c r="Q120" s="115"/>
      <c r="R120" s="115">
        <v>6</v>
      </c>
      <c r="S120" s="116" t="str">
        <f t="shared" si="21"/>
        <v/>
      </c>
      <c r="T120" s="117" t="s">
        <v>1116</v>
      </c>
      <c r="U120" s="115" t="s">
        <v>334</v>
      </c>
      <c r="V120" s="115" t="s">
        <v>333</v>
      </c>
      <c r="W120" s="115" t="s">
        <v>861</v>
      </c>
      <c r="X120" s="115" t="s">
        <v>1010</v>
      </c>
      <c r="Y120" s="118">
        <v>2</v>
      </c>
      <c r="Z120" s="118" t="b">
        <f t="shared" si="22"/>
        <v>1</v>
      </c>
      <c r="AA120" s="116" t="b">
        <f t="shared" si="23"/>
        <v>0</v>
      </c>
      <c r="AB120" s="116" t="b">
        <f t="shared" si="24"/>
        <v>0</v>
      </c>
      <c r="AC120" s="116" t="b">
        <f t="shared" si="25"/>
        <v>0</v>
      </c>
      <c r="AD120" s="116" t="b">
        <f t="shared" si="26"/>
        <v>0</v>
      </c>
      <c r="AE120" s="116" t="b">
        <f t="shared" si="27"/>
        <v>0</v>
      </c>
      <c r="AF120" s="116" t="s">
        <v>864</v>
      </c>
      <c r="AG120" s="116" t="s">
        <v>865</v>
      </c>
      <c r="AH120" s="116">
        <v>0</v>
      </c>
      <c r="AI120" s="116">
        <v>0</v>
      </c>
      <c r="AJ120" s="116" t="s">
        <v>1127</v>
      </c>
      <c r="AK120" s="116"/>
      <c r="AL120" s="82"/>
      <c r="AM120" s="82"/>
      <c r="AN120" s="82"/>
      <c r="AO120" s="82"/>
      <c r="AP120" s="82"/>
    </row>
    <row r="121" spans="3:42" x14ac:dyDescent="0.25">
      <c r="C121" s="102" t="s">
        <v>991</v>
      </c>
      <c r="D121" s="102" t="s">
        <v>870</v>
      </c>
      <c r="E121" s="102" t="s">
        <v>4</v>
      </c>
      <c r="F121" s="102" t="s">
        <v>859</v>
      </c>
      <c r="G121" s="97">
        <v>6</v>
      </c>
      <c r="H121" s="115" t="s">
        <v>1008</v>
      </c>
      <c r="I121" s="115" t="s">
        <v>1</v>
      </c>
      <c r="J121" s="115"/>
      <c r="K121" s="115"/>
      <c r="L121" s="115"/>
      <c r="M121" s="115"/>
      <c r="N121" s="115" t="s">
        <v>87</v>
      </c>
      <c r="O121" s="115" t="s">
        <v>870</v>
      </c>
      <c r="P121" s="115" t="s">
        <v>4</v>
      </c>
      <c r="Q121" s="115"/>
      <c r="R121" s="115">
        <v>6</v>
      </c>
      <c r="S121" s="116" t="str">
        <f t="shared" si="21"/>
        <v/>
      </c>
      <c r="T121" s="117" t="s">
        <v>1117</v>
      </c>
      <c r="U121" s="115" t="s">
        <v>335</v>
      </c>
      <c r="V121" s="115" t="s">
        <v>333</v>
      </c>
      <c r="W121" s="115" t="s">
        <v>861</v>
      </c>
      <c r="X121" s="115" t="s">
        <v>1010</v>
      </c>
      <c r="Y121" s="118">
        <v>2</v>
      </c>
      <c r="Z121" s="118" t="b">
        <f t="shared" si="22"/>
        <v>1</v>
      </c>
      <c r="AA121" s="116" t="b">
        <f t="shared" si="23"/>
        <v>1</v>
      </c>
      <c r="AB121" s="116" t="b">
        <f t="shared" si="24"/>
        <v>0</v>
      </c>
      <c r="AC121" s="116" t="b">
        <f t="shared" si="25"/>
        <v>0</v>
      </c>
      <c r="AD121" s="116" t="b">
        <f t="shared" si="26"/>
        <v>0</v>
      </c>
      <c r="AE121" s="116" t="b">
        <f t="shared" si="27"/>
        <v>0</v>
      </c>
      <c r="AF121" s="116" t="s">
        <v>862</v>
      </c>
      <c r="AG121" s="116" t="s">
        <v>863</v>
      </c>
      <c r="AH121" s="116">
        <v>0.01</v>
      </c>
      <c r="AI121" s="116">
        <v>0.01</v>
      </c>
      <c r="AJ121" s="116"/>
      <c r="AK121" s="116"/>
      <c r="AL121" s="82"/>
      <c r="AM121" s="82"/>
      <c r="AN121" s="82"/>
      <c r="AO121" s="82"/>
      <c r="AP121" s="82"/>
    </row>
    <row r="122" spans="3:42" x14ac:dyDescent="0.25">
      <c r="C122" s="102" t="s">
        <v>992</v>
      </c>
      <c r="D122" s="102" t="s">
        <v>871</v>
      </c>
      <c r="E122" s="102" t="s">
        <v>3</v>
      </c>
      <c r="F122" s="102" t="s">
        <v>859</v>
      </c>
      <c r="G122" s="97">
        <v>9</v>
      </c>
      <c r="H122" s="115" t="s">
        <v>1008</v>
      </c>
      <c r="I122" s="115" t="s">
        <v>75</v>
      </c>
      <c r="J122" s="115"/>
      <c r="K122" s="115"/>
      <c r="L122" s="115"/>
      <c r="M122" s="115"/>
      <c r="N122" s="115" t="s">
        <v>150</v>
      </c>
      <c r="O122" s="115" t="s">
        <v>871</v>
      </c>
      <c r="P122" s="115" t="s">
        <v>3</v>
      </c>
      <c r="Q122" s="115"/>
      <c r="R122" s="115">
        <v>9</v>
      </c>
      <c r="S122" s="116" t="str">
        <f t="shared" si="21"/>
        <v/>
      </c>
      <c r="T122" s="117" t="s">
        <v>1118</v>
      </c>
      <c r="U122" s="115" t="s">
        <v>341</v>
      </c>
      <c r="V122" s="115" t="s">
        <v>13</v>
      </c>
      <c r="W122" s="115" t="s">
        <v>861</v>
      </c>
      <c r="X122" s="115" t="s">
        <v>1010</v>
      </c>
      <c r="Y122" s="118">
        <v>2</v>
      </c>
      <c r="Z122" s="118" t="b">
        <f t="shared" si="22"/>
        <v>1</v>
      </c>
      <c r="AA122" s="116" t="b">
        <f t="shared" si="23"/>
        <v>0</v>
      </c>
      <c r="AB122" s="116" t="b">
        <f t="shared" si="24"/>
        <v>0</v>
      </c>
      <c r="AC122" s="116" t="b">
        <f t="shared" si="25"/>
        <v>0</v>
      </c>
      <c r="AD122" s="116" t="b">
        <f t="shared" si="26"/>
        <v>0</v>
      </c>
      <c r="AE122" s="116" t="b">
        <f t="shared" si="27"/>
        <v>0</v>
      </c>
      <c r="AF122" s="116" t="s">
        <v>864</v>
      </c>
      <c r="AG122" s="116" t="s">
        <v>865</v>
      </c>
      <c r="AH122" s="116">
        <v>0</v>
      </c>
      <c r="AI122" s="116">
        <v>0</v>
      </c>
      <c r="AJ122" s="116" t="s">
        <v>1127</v>
      </c>
      <c r="AK122" s="116"/>
      <c r="AL122" s="82"/>
      <c r="AM122" s="82"/>
      <c r="AN122" s="82"/>
      <c r="AO122" s="82"/>
      <c r="AP122" s="82"/>
    </row>
    <row r="123" spans="3:42" x14ac:dyDescent="0.25">
      <c r="C123" s="102" t="s">
        <v>993</v>
      </c>
      <c r="D123" s="102" t="s">
        <v>871</v>
      </c>
      <c r="E123" s="102" t="s">
        <v>3</v>
      </c>
      <c r="F123" s="102" t="s">
        <v>859</v>
      </c>
      <c r="G123" s="97">
        <v>6</v>
      </c>
      <c r="H123" s="115" t="s">
        <v>1008</v>
      </c>
      <c r="I123" s="115" t="s">
        <v>75</v>
      </c>
      <c r="J123" s="115"/>
      <c r="K123" s="115"/>
      <c r="L123" s="115"/>
      <c r="M123" s="115"/>
      <c r="N123" s="115" t="s">
        <v>150</v>
      </c>
      <c r="O123" s="115" t="s">
        <v>871</v>
      </c>
      <c r="P123" s="115" t="s">
        <v>3</v>
      </c>
      <c r="Q123" s="115"/>
      <c r="R123" s="115">
        <v>6</v>
      </c>
      <c r="S123" s="116" t="str">
        <f t="shared" si="21"/>
        <v/>
      </c>
      <c r="T123" s="117" t="s">
        <v>1119</v>
      </c>
      <c r="U123" s="115" t="s">
        <v>439</v>
      </c>
      <c r="V123" s="115" t="s">
        <v>433</v>
      </c>
      <c r="W123" s="115" t="s">
        <v>861</v>
      </c>
      <c r="X123" s="115" t="s">
        <v>1010</v>
      </c>
      <c r="Y123" s="118">
        <v>2</v>
      </c>
      <c r="Z123" s="118" t="b">
        <f t="shared" si="22"/>
        <v>1</v>
      </c>
      <c r="AA123" s="116" t="b">
        <f t="shared" si="23"/>
        <v>0</v>
      </c>
      <c r="AB123" s="116" t="b">
        <f t="shared" si="24"/>
        <v>0</v>
      </c>
      <c r="AC123" s="116" t="b">
        <f t="shared" si="25"/>
        <v>0</v>
      </c>
      <c r="AD123" s="116" t="b">
        <f t="shared" si="26"/>
        <v>0</v>
      </c>
      <c r="AE123" s="116" t="b">
        <f t="shared" si="27"/>
        <v>0</v>
      </c>
      <c r="AF123" s="116" t="s">
        <v>864</v>
      </c>
      <c r="AG123" s="116" t="s">
        <v>865</v>
      </c>
      <c r="AH123" s="116">
        <v>0</v>
      </c>
      <c r="AI123" s="116">
        <v>0</v>
      </c>
      <c r="AJ123" s="116" t="s">
        <v>1127</v>
      </c>
      <c r="AK123" s="116"/>
      <c r="AL123" s="82"/>
      <c r="AM123" s="82"/>
      <c r="AN123" s="82"/>
      <c r="AO123" s="82"/>
      <c r="AP123" s="82"/>
    </row>
    <row r="124" spans="3:42" x14ac:dyDescent="0.25">
      <c r="C124" s="102" t="s">
        <v>994</v>
      </c>
      <c r="D124" s="102" t="s">
        <v>870</v>
      </c>
      <c r="E124" s="102" t="s">
        <v>4</v>
      </c>
      <c r="F124" s="102" t="s">
        <v>859</v>
      </c>
      <c r="G124" s="97">
        <v>6</v>
      </c>
      <c r="H124" s="115" t="s">
        <v>1008</v>
      </c>
      <c r="I124" s="115" t="s">
        <v>236</v>
      </c>
      <c r="J124" s="115"/>
      <c r="K124" s="115"/>
      <c r="L124" s="115"/>
      <c r="M124" s="115"/>
      <c r="N124" s="115" t="s">
        <v>85</v>
      </c>
      <c r="O124" s="115" t="s">
        <v>870</v>
      </c>
      <c r="P124" s="115" t="s">
        <v>4</v>
      </c>
      <c r="Q124" s="115"/>
      <c r="R124" s="115">
        <v>6</v>
      </c>
      <c r="S124" s="116" t="str">
        <f t="shared" si="21"/>
        <v/>
      </c>
      <c r="T124" s="117" t="s">
        <v>1119</v>
      </c>
      <c r="U124" s="115" t="s">
        <v>439</v>
      </c>
      <c r="V124" s="115" t="s">
        <v>433</v>
      </c>
      <c r="W124" s="115" t="s">
        <v>861</v>
      </c>
      <c r="X124" s="115" t="s">
        <v>1010</v>
      </c>
      <c r="Y124" s="118">
        <v>2</v>
      </c>
      <c r="Z124" s="118" t="b">
        <f t="shared" si="22"/>
        <v>1</v>
      </c>
      <c r="AA124" s="116" t="b">
        <f t="shared" si="23"/>
        <v>1</v>
      </c>
      <c r="AB124" s="116" t="b">
        <f t="shared" si="24"/>
        <v>0</v>
      </c>
      <c r="AC124" s="116" t="b">
        <f t="shared" si="25"/>
        <v>0</v>
      </c>
      <c r="AD124" s="116" t="b">
        <f t="shared" si="26"/>
        <v>0</v>
      </c>
      <c r="AE124" s="116" t="b">
        <f t="shared" si="27"/>
        <v>0</v>
      </c>
      <c r="AF124" s="116" t="s">
        <v>862</v>
      </c>
      <c r="AG124" s="116" t="s">
        <v>863</v>
      </c>
      <c r="AH124" s="116">
        <v>0.01</v>
      </c>
      <c r="AI124" s="116">
        <v>0.01</v>
      </c>
      <c r="AJ124" s="116"/>
      <c r="AK124" s="116"/>
      <c r="AL124" s="82"/>
      <c r="AM124" s="82"/>
      <c r="AN124" s="82"/>
      <c r="AO124" s="82"/>
      <c r="AP124" s="82"/>
    </row>
    <row r="125" spans="3:42" x14ac:dyDescent="0.25">
      <c r="C125" s="102" t="s">
        <v>995</v>
      </c>
      <c r="D125" s="102" t="s">
        <v>871</v>
      </c>
      <c r="E125" s="102" t="s">
        <v>3</v>
      </c>
      <c r="F125" s="102" t="s">
        <v>859</v>
      </c>
      <c r="G125" s="97">
        <v>9</v>
      </c>
      <c r="H125" s="115" t="s">
        <v>1008</v>
      </c>
      <c r="I125" s="115" t="s">
        <v>75</v>
      </c>
      <c r="J125" s="115"/>
      <c r="K125" s="115"/>
      <c r="L125" s="115"/>
      <c r="M125" s="115"/>
      <c r="N125" s="115" t="s">
        <v>150</v>
      </c>
      <c r="O125" s="115" t="s">
        <v>871</v>
      </c>
      <c r="P125" s="115" t="s">
        <v>3</v>
      </c>
      <c r="Q125" s="115"/>
      <c r="R125" s="115">
        <v>9</v>
      </c>
      <c r="S125" s="116" t="str">
        <f t="shared" si="21"/>
        <v/>
      </c>
      <c r="T125" s="117" t="s">
        <v>1120</v>
      </c>
      <c r="U125" s="115" t="s">
        <v>436</v>
      </c>
      <c r="V125" s="115" t="s">
        <v>433</v>
      </c>
      <c r="W125" s="115" t="s">
        <v>861</v>
      </c>
      <c r="X125" s="115" t="s">
        <v>1010</v>
      </c>
      <c r="Y125" s="118">
        <v>2</v>
      </c>
      <c r="Z125" s="118" t="b">
        <f t="shared" si="22"/>
        <v>1</v>
      </c>
      <c r="AA125" s="116" t="b">
        <f t="shared" si="23"/>
        <v>0</v>
      </c>
      <c r="AB125" s="116" t="b">
        <f t="shared" si="24"/>
        <v>0</v>
      </c>
      <c r="AC125" s="116" t="b">
        <f t="shared" si="25"/>
        <v>0</v>
      </c>
      <c r="AD125" s="116" t="b">
        <f t="shared" si="26"/>
        <v>0</v>
      </c>
      <c r="AE125" s="116" t="b">
        <f t="shared" si="27"/>
        <v>0</v>
      </c>
      <c r="AF125" s="116" t="s">
        <v>864</v>
      </c>
      <c r="AG125" s="116" t="s">
        <v>865</v>
      </c>
      <c r="AH125" s="116">
        <v>0</v>
      </c>
      <c r="AI125" s="116">
        <v>0</v>
      </c>
      <c r="AJ125" s="116" t="s">
        <v>1127</v>
      </c>
      <c r="AK125" s="116"/>
      <c r="AL125" s="82"/>
      <c r="AM125" s="82"/>
      <c r="AN125" s="82"/>
      <c r="AO125" s="82"/>
      <c r="AP125" s="82"/>
    </row>
    <row r="126" spans="3:42" x14ac:dyDescent="0.25">
      <c r="C126" s="102" t="s">
        <v>996</v>
      </c>
      <c r="D126" s="102" t="s">
        <v>870</v>
      </c>
      <c r="E126" s="102" t="s">
        <v>4</v>
      </c>
      <c r="F126" s="102" t="s">
        <v>859</v>
      </c>
      <c r="G126" s="97">
        <v>6</v>
      </c>
      <c r="H126" s="115" t="s">
        <v>1008</v>
      </c>
      <c r="I126" s="115" t="s">
        <v>1</v>
      </c>
      <c r="J126" s="115"/>
      <c r="K126" s="115"/>
      <c r="L126" s="115"/>
      <c r="M126" s="115"/>
      <c r="N126" s="115" t="s">
        <v>87</v>
      </c>
      <c r="O126" s="115" t="s">
        <v>870</v>
      </c>
      <c r="P126" s="115" t="s">
        <v>4</v>
      </c>
      <c r="Q126" s="115"/>
      <c r="R126" s="115">
        <v>6</v>
      </c>
      <c r="S126" s="116" t="str">
        <f t="shared" si="21"/>
        <v/>
      </c>
      <c r="T126" s="117" t="s">
        <v>1121</v>
      </c>
      <c r="U126" s="115" t="s">
        <v>432</v>
      </c>
      <c r="V126" s="115" t="s">
        <v>433</v>
      </c>
      <c r="W126" s="115" t="s">
        <v>861</v>
      </c>
      <c r="X126" s="115" t="s">
        <v>1010</v>
      </c>
      <c r="Y126" s="118">
        <v>1</v>
      </c>
      <c r="Z126" s="118" t="b">
        <f t="shared" si="22"/>
        <v>1</v>
      </c>
      <c r="AA126" s="116" t="b">
        <f t="shared" si="23"/>
        <v>1</v>
      </c>
      <c r="AB126" s="116" t="b">
        <f t="shared" si="24"/>
        <v>0</v>
      </c>
      <c r="AC126" s="116" t="b">
        <f t="shared" si="25"/>
        <v>0</v>
      </c>
      <c r="AD126" s="116" t="b">
        <f t="shared" si="26"/>
        <v>0</v>
      </c>
      <c r="AE126" s="116" t="b">
        <f t="shared" si="27"/>
        <v>0</v>
      </c>
      <c r="AF126" s="116" t="s">
        <v>862</v>
      </c>
      <c r="AG126" s="116" t="s">
        <v>863</v>
      </c>
      <c r="AH126" s="116">
        <v>0.01</v>
      </c>
      <c r="AI126" s="116">
        <v>0.01</v>
      </c>
      <c r="AJ126" s="116"/>
      <c r="AK126" s="116"/>
      <c r="AL126" s="82"/>
      <c r="AM126" s="82"/>
      <c r="AN126" s="82"/>
      <c r="AO126" s="82"/>
      <c r="AP126" s="82"/>
    </row>
    <row r="127" spans="3:42" x14ac:dyDescent="0.25">
      <c r="C127" s="102" t="s">
        <v>997</v>
      </c>
      <c r="D127" s="102" t="s">
        <v>871</v>
      </c>
      <c r="E127" s="102" t="s">
        <v>3</v>
      </c>
      <c r="F127" s="102" t="s">
        <v>859</v>
      </c>
      <c r="G127" s="97">
        <v>6</v>
      </c>
      <c r="H127" s="115" t="s">
        <v>1008</v>
      </c>
      <c r="I127" s="115" t="s">
        <v>75</v>
      </c>
      <c r="J127" s="115"/>
      <c r="K127" s="115"/>
      <c r="L127" s="115"/>
      <c r="M127" s="115"/>
      <c r="N127" s="115" t="s">
        <v>150</v>
      </c>
      <c r="O127" s="115" t="s">
        <v>871</v>
      </c>
      <c r="P127" s="115" t="s">
        <v>3</v>
      </c>
      <c r="Q127" s="115"/>
      <c r="R127" s="115">
        <v>6</v>
      </c>
      <c r="S127" s="116" t="str">
        <f t="shared" si="21"/>
        <v/>
      </c>
      <c r="T127" s="117" t="s">
        <v>1106</v>
      </c>
      <c r="U127" s="115" t="s">
        <v>9</v>
      </c>
      <c r="V127" s="115" t="s">
        <v>378</v>
      </c>
      <c r="W127" s="115" t="s">
        <v>861</v>
      </c>
      <c r="X127" s="115" t="s">
        <v>1010</v>
      </c>
      <c r="Y127" s="118">
        <v>2</v>
      </c>
      <c r="Z127" s="118" t="b">
        <f t="shared" si="22"/>
        <v>1</v>
      </c>
      <c r="AA127" s="116" t="b">
        <f t="shared" si="23"/>
        <v>0</v>
      </c>
      <c r="AB127" s="116" t="b">
        <f t="shared" si="24"/>
        <v>0</v>
      </c>
      <c r="AC127" s="116" t="b">
        <f t="shared" si="25"/>
        <v>0</v>
      </c>
      <c r="AD127" s="116" t="b">
        <f t="shared" si="26"/>
        <v>0</v>
      </c>
      <c r="AE127" s="116" t="b">
        <f t="shared" si="27"/>
        <v>0</v>
      </c>
      <c r="AF127" s="116" t="s">
        <v>864</v>
      </c>
      <c r="AG127" s="116" t="s">
        <v>865</v>
      </c>
      <c r="AH127" s="116">
        <v>0</v>
      </c>
      <c r="AI127" s="116">
        <v>0</v>
      </c>
      <c r="AJ127" s="116" t="s">
        <v>1127</v>
      </c>
      <c r="AK127" s="116"/>
      <c r="AL127" s="82"/>
      <c r="AM127" s="82"/>
      <c r="AN127" s="82"/>
      <c r="AO127" s="82"/>
      <c r="AP127" s="82"/>
    </row>
    <row r="128" spans="3:42" x14ac:dyDescent="0.25">
      <c r="C128" s="102" t="s">
        <v>998</v>
      </c>
      <c r="D128" s="102" t="s">
        <v>870</v>
      </c>
      <c r="E128" s="102" t="s">
        <v>4</v>
      </c>
      <c r="F128" s="102" t="s">
        <v>859</v>
      </c>
      <c r="G128" s="97">
        <v>6</v>
      </c>
      <c r="H128" s="115" t="s">
        <v>1008</v>
      </c>
      <c r="I128" s="115" t="s">
        <v>75</v>
      </c>
      <c r="J128" s="115"/>
      <c r="K128" s="115"/>
      <c r="L128" s="115"/>
      <c r="M128" s="115"/>
      <c r="N128" s="115" t="s">
        <v>155</v>
      </c>
      <c r="O128" s="115" t="s">
        <v>870</v>
      </c>
      <c r="P128" s="115" t="s">
        <v>4</v>
      </c>
      <c r="Q128" s="115"/>
      <c r="R128" s="115">
        <v>6</v>
      </c>
      <c r="S128" s="116" t="str">
        <f t="shared" si="21"/>
        <v/>
      </c>
      <c r="T128" s="117" t="s">
        <v>1122</v>
      </c>
      <c r="U128" s="115" t="s">
        <v>411</v>
      </c>
      <c r="V128" s="115" t="s">
        <v>412</v>
      </c>
      <c r="W128" s="115" t="s">
        <v>861</v>
      </c>
      <c r="X128" s="115" t="s">
        <v>1010</v>
      </c>
      <c r="Y128" s="118">
        <v>2</v>
      </c>
      <c r="Z128" s="118" t="b">
        <f t="shared" si="22"/>
        <v>1</v>
      </c>
      <c r="AA128" s="116" t="b">
        <f t="shared" si="23"/>
        <v>0</v>
      </c>
      <c r="AB128" s="116" t="b">
        <f t="shared" si="24"/>
        <v>0</v>
      </c>
      <c r="AC128" s="116" t="b">
        <f t="shared" si="25"/>
        <v>0</v>
      </c>
      <c r="AD128" s="116" t="b">
        <f t="shared" si="26"/>
        <v>0</v>
      </c>
      <c r="AE128" s="116" t="b">
        <f t="shared" si="27"/>
        <v>0</v>
      </c>
      <c r="AF128" s="116" t="s">
        <v>864</v>
      </c>
      <c r="AG128" s="116" t="s">
        <v>865</v>
      </c>
      <c r="AH128" s="116">
        <v>0</v>
      </c>
      <c r="AI128" s="116">
        <v>0</v>
      </c>
      <c r="AJ128" s="116" t="s">
        <v>1127</v>
      </c>
      <c r="AK128" s="116"/>
      <c r="AL128" s="82"/>
      <c r="AM128" s="82"/>
      <c r="AN128" s="82"/>
      <c r="AO128" s="82"/>
      <c r="AP128" s="82"/>
    </row>
    <row r="129" spans="3:42" x14ac:dyDescent="0.25">
      <c r="C129" s="102" t="s">
        <v>999</v>
      </c>
      <c r="D129" s="102" t="s">
        <v>871</v>
      </c>
      <c r="E129" s="102" t="s">
        <v>3</v>
      </c>
      <c r="F129" s="102" t="s">
        <v>859</v>
      </c>
      <c r="G129" s="97">
        <v>12</v>
      </c>
      <c r="H129" s="115" t="s">
        <v>1008</v>
      </c>
      <c r="I129" s="115" t="s">
        <v>75</v>
      </c>
      <c r="J129" s="115"/>
      <c r="K129" s="115"/>
      <c r="L129" s="115"/>
      <c r="M129" s="115"/>
      <c r="N129" s="115" t="s">
        <v>150</v>
      </c>
      <c r="O129" s="115" t="s">
        <v>871</v>
      </c>
      <c r="P129" s="115" t="s">
        <v>3</v>
      </c>
      <c r="Q129" s="115"/>
      <c r="R129" s="115">
        <v>12</v>
      </c>
      <c r="S129" s="116" t="str">
        <f t="shared" si="21"/>
        <v/>
      </c>
      <c r="T129" s="117" t="s">
        <v>1123</v>
      </c>
      <c r="U129" s="115" t="s">
        <v>427</v>
      </c>
      <c r="V129" s="115" t="s">
        <v>426</v>
      </c>
      <c r="W129" s="115" t="s">
        <v>861</v>
      </c>
      <c r="X129" s="115" t="s">
        <v>1010</v>
      </c>
      <c r="Y129" s="118">
        <v>2</v>
      </c>
      <c r="Z129" s="118" t="b">
        <f t="shared" si="22"/>
        <v>1</v>
      </c>
      <c r="AA129" s="116" t="b">
        <f t="shared" si="23"/>
        <v>0</v>
      </c>
      <c r="AB129" s="116" t="b">
        <f t="shared" si="24"/>
        <v>0</v>
      </c>
      <c r="AC129" s="116" t="b">
        <f t="shared" si="25"/>
        <v>0</v>
      </c>
      <c r="AD129" s="116" t="b">
        <f t="shared" si="26"/>
        <v>0</v>
      </c>
      <c r="AE129" s="116" t="b">
        <f t="shared" si="27"/>
        <v>0</v>
      </c>
      <c r="AF129" s="116" t="s">
        <v>864</v>
      </c>
      <c r="AG129" s="116" t="s">
        <v>865</v>
      </c>
      <c r="AH129" s="116">
        <v>0</v>
      </c>
      <c r="AI129" s="116">
        <v>0</v>
      </c>
      <c r="AJ129" s="116" t="s">
        <v>1127</v>
      </c>
      <c r="AK129" s="116"/>
      <c r="AL129" s="82"/>
      <c r="AM129" s="82"/>
      <c r="AN129" s="82"/>
      <c r="AO129" s="82"/>
      <c r="AP129" s="82"/>
    </row>
    <row r="130" spans="3:42" x14ac:dyDescent="0.25">
      <c r="C130" s="102" t="s">
        <v>1000</v>
      </c>
      <c r="D130" s="102" t="s">
        <v>871</v>
      </c>
      <c r="E130" s="102" t="s">
        <v>3</v>
      </c>
      <c r="F130" s="102" t="s">
        <v>859</v>
      </c>
      <c r="G130" s="97">
        <v>12</v>
      </c>
      <c r="H130" s="115" t="s">
        <v>1008</v>
      </c>
      <c r="I130" s="115" t="s">
        <v>75</v>
      </c>
      <c r="J130" s="115"/>
      <c r="K130" s="115"/>
      <c r="L130" s="115"/>
      <c r="M130" s="115"/>
      <c r="N130" s="115" t="s">
        <v>150</v>
      </c>
      <c r="O130" s="115" t="s">
        <v>871</v>
      </c>
      <c r="P130" s="115" t="s">
        <v>3</v>
      </c>
      <c r="Q130" s="115"/>
      <c r="R130" s="115">
        <v>12</v>
      </c>
      <c r="S130" s="116" t="str">
        <f t="shared" si="21"/>
        <v/>
      </c>
      <c r="T130" s="117" t="s">
        <v>1124</v>
      </c>
      <c r="U130" s="115" t="s">
        <v>419</v>
      </c>
      <c r="V130" s="115" t="s">
        <v>6</v>
      </c>
      <c r="W130" s="115" t="s">
        <v>861</v>
      </c>
      <c r="X130" s="115" t="s">
        <v>1010</v>
      </c>
      <c r="Y130" s="118">
        <v>2</v>
      </c>
      <c r="Z130" s="118" t="b">
        <f t="shared" si="22"/>
        <v>1</v>
      </c>
      <c r="AA130" s="116" t="b">
        <f t="shared" si="23"/>
        <v>0</v>
      </c>
      <c r="AB130" s="116" t="b">
        <f t="shared" si="24"/>
        <v>0</v>
      </c>
      <c r="AC130" s="116" t="b">
        <f t="shared" si="25"/>
        <v>0</v>
      </c>
      <c r="AD130" s="116" t="b">
        <f t="shared" si="26"/>
        <v>0</v>
      </c>
      <c r="AE130" s="116" t="b">
        <f t="shared" si="27"/>
        <v>0</v>
      </c>
      <c r="AF130" s="116" t="s">
        <v>864</v>
      </c>
      <c r="AG130" s="116" t="s">
        <v>865</v>
      </c>
      <c r="AH130" s="116">
        <v>0</v>
      </c>
      <c r="AI130" s="116">
        <v>0</v>
      </c>
      <c r="AJ130" s="116" t="s">
        <v>1127</v>
      </c>
      <c r="AK130" s="116"/>
      <c r="AL130" s="82"/>
      <c r="AM130" s="82"/>
      <c r="AN130" s="82"/>
      <c r="AO130" s="82"/>
      <c r="AP130" s="82"/>
    </row>
    <row r="131" spans="3:42" x14ac:dyDescent="0.25">
      <c r="C131" s="102" t="s">
        <v>1001</v>
      </c>
      <c r="D131" s="102" t="s">
        <v>871</v>
      </c>
      <c r="E131" s="102" t="s">
        <v>4</v>
      </c>
      <c r="F131" s="102" t="s">
        <v>859</v>
      </c>
      <c r="G131" s="97">
        <v>9</v>
      </c>
      <c r="H131" s="115" t="s">
        <v>1008</v>
      </c>
      <c r="I131" s="115" t="s">
        <v>718</v>
      </c>
      <c r="J131" s="115"/>
      <c r="K131" s="115"/>
      <c r="L131" s="115"/>
      <c r="M131" s="115"/>
      <c r="N131" s="115" t="s">
        <v>224</v>
      </c>
      <c r="O131" s="115" t="s">
        <v>871</v>
      </c>
      <c r="P131" s="115" t="s">
        <v>3</v>
      </c>
      <c r="Q131" s="115"/>
      <c r="R131" s="115">
        <v>9</v>
      </c>
      <c r="S131" s="116" t="str">
        <f t="shared" si="21"/>
        <v/>
      </c>
      <c r="T131" s="117" t="s">
        <v>1125</v>
      </c>
      <c r="U131" s="115" t="s">
        <v>411</v>
      </c>
      <c r="V131" s="115" t="s">
        <v>412</v>
      </c>
      <c r="W131" s="115" t="s">
        <v>861</v>
      </c>
      <c r="X131" s="115" t="s">
        <v>1010</v>
      </c>
      <c r="Y131" s="118">
        <v>2</v>
      </c>
      <c r="Z131" s="118" t="b">
        <f t="shared" si="22"/>
        <v>1</v>
      </c>
      <c r="AA131" s="116" t="b">
        <f t="shared" si="23"/>
        <v>1</v>
      </c>
      <c r="AB131" s="116" t="b">
        <f t="shared" si="24"/>
        <v>0</v>
      </c>
      <c r="AC131" s="116" t="b">
        <f t="shared" si="25"/>
        <v>1</v>
      </c>
      <c r="AD131" s="116" t="b">
        <f t="shared" si="26"/>
        <v>0</v>
      </c>
      <c r="AE131" s="116" t="b">
        <f t="shared" si="27"/>
        <v>0</v>
      </c>
      <c r="AF131" s="116" t="s">
        <v>862</v>
      </c>
      <c r="AG131" s="116" t="s">
        <v>863</v>
      </c>
      <c r="AH131" s="116">
        <v>0.01</v>
      </c>
      <c r="AI131" s="116">
        <v>0.01</v>
      </c>
      <c r="AJ131" s="116"/>
      <c r="AK131" s="116"/>
      <c r="AL131" s="82"/>
      <c r="AM131" s="82"/>
      <c r="AN131" s="82"/>
      <c r="AO131" s="82"/>
      <c r="AP131" s="82"/>
    </row>
    <row r="132" spans="3:42" x14ac:dyDescent="0.25">
      <c r="C132" s="102" t="s">
        <v>1002</v>
      </c>
      <c r="D132" s="102" t="s">
        <v>870</v>
      </c>
      <c r="E132" s="102" t="s">
        <v>4</v>
      </c>
      <c r="F132" s="102" t="s">
        <v>859</v>
      </c>
      <c r="G132" s="97">
        <v>6</v>
      </c>
      <c r="H132" s="115" t="s">
        <v>1008</v>
      </c>
      <c r="I132" s="115" t="s">
        <v>75</v>
      </c>
      <c r="J132" s="115"/>
      <c r="K132" s="115"/>
      <c r="L132" s="115"/>
      <c r="M132" s="115"/>
      <c r="N132" s="115" t="s">
        <v>155</v>
      </c>
      <c r="O132" s="115" t="s">
        <v>870</v>
      </c>
      <c r="P132" s="115" t="s">
        <v>4</v>
      </c>
      <c r="Q132" s="115"/>
      <c r="R132" s="115">
        <v>6</v>
      </c>
      <c r="S132" s="116" t="str">
        <f t="shared" si="21"/>
        <v/>
      </c>
      <c r="T132" s="117" t="s">
        <v>1126</v>
      </c>
      <c r="U132" s="115" t="s">
        <v>383</v>
      </c>
      <c r="V132" s="115" t="s">
        <v>378</v>
      </c>
      <c r="W132" s="115" t="s">
        <v>861</v>
      </c>
      <c r="X132" s="115" t="s">
        <v>1010</v>
      </c>
      <c r="Y132" s="118">
        <v>2</v>
      </c>
      <c r="Z132" s="118" t="b">
        <f t="shared" si="22"/>
        <v>1</v>
      </c>
      <c r="AA132" s="116" t="b">
        <f t="shared" si="23"/>
        <v>0</v>
      </c>
      <c r="AB132" s="116" t="b">
        <f t="shared" si="24"/>
        <v>0</v>
      </c>
      <c r="AC132" s="116" t="b">
        <f t="shared" si="25"/>
        <v>0</v>
      </c>
      <c r="AD132" s="116" t="b">
        <f t="shared" si="26"/>
        <v>0</v>
      </c>
      <c r="AE132" s="116" t="b">
        <f t="shared" si="27"/>
        <v>0</v>
      </c>
      <c r="AF132" s="116" t="s">
        <v>864</v>
      </c>
      <c r="AG132" s="116" t="s">
        <v>865</v>
      </c>
      <c r="AH132" s="116">
        <v>0</v>
      </c>
      <c r="AI132" s="116">
        <v>0</v>
      </c>
      <c r="AJ132" s="116" t="s">
        <v>1127</v>
      </c>
      <c r="AK132" s="116"/>
      <c r="AL132" s="82"/>
      <c r="AM132" s="82"/>
      <c r="AN132" s="82"/>
      <c r="AO132" s="82"/>
      <c r="AP132" s="82"/>
    </row>
    <row r="133" spans="3:42" x14ac:dyDescent="0.25">
      <c r="C133" s="102"/>
      <c r="D133" s="102"/>
      <c r="F133" s="102"/>
      <c r="G133" s="97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6"/>
      <c r="T133" s="117"/>
      <c r="U133" s="115"/>
      <c r="V133" s="115"/>
      <c r="W133" s="115"/>
      <c r="X133" s="115"/>
      <c r="Y133" s="118"/>
      <c r="Z133" s="118"/>
      <c r="AA133" s="116"/>
      <c r="AB133" s="116"/>
      <c r="AC133" s="116"/>
      <c r="AD133" s="116"/>
      <c r="AE133" s="116"/>
      <c r="AF133" s="116"/>
      <c r="AG133" s="116"/>
      <c r="AH133" s="116"/>
      <c r="AI133" s="116"/>
      <c r="AJ133" s="116"/>
      <c r="AK133" s="116"/>
      <c r="AL133" s="82"/>
      <c r="AM133" s="82"/>
      <c r="AN133" s="82"/>
      <c r="AO133" s="82"/>
      <c r="AP133" s="82"/>
    </row>
    <row r="134" spans="3:42" x14ac:dyDescent="0.25">
      <c r="H134" s="119"/>
      <c r="I134" s="115"/>
      <c r="J134" s="115"/>
      <c r="K134" s="115"/>
      <c r="L134" s="115"/>
      <c r="M134" s="115"/>
      <c r="N134" s="120"/>
      <c r="O134" s="115"/>
      <c r="P134" s="115"/>
      <c r="Q134" s="115"/>
      <c r="R134" s="120"/>
      <c r="S134" s="121"/>
      <c r="T134" s="122"/>
      <c r="U134" s="119"/>
      <c r="V134" s="119"/>
      <c r="W134" s="119"/>
      <c r="X134" s="119"/>
      <c r="Y134" s="123"/>
      <c r="Z134" s="123"/>
      <c r="AA134" s="124"/>
      <c r="AB134" s="124"/>
      <c r="AC134" s="124"/>
      <c r="AD134" s="124"/>
      <c r="AE134" s="124"/>
      <c r="AF134" s="116"/>
      <c r="AG134" s="124"/>
      <c r="AH134" s="124"/>
      <c r="AI134" s="124"/>
      <c r="AJ134" s="116"/>
      <c r="AK134" s="124"/>
      <c r="AL134" s="82"/>
      <c r="AM134" s="82"/>
      <c r="AN134" s="82"/>
      <c r="AO134" s="82"/>
      <c r="AP134" s="82"/>
    </row>
  </sheetData>
  <autoFilter ref="C6:AK132"/>
  <mergeCells count="2">
    <mergeCell ref="H3:J3"/>
    <mergeCell ref="D5:G5"/>
  </mergeCells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Go">
                <anchor moveWithCells="1" sizeWithCells="1">
                  <from>
                    <xdr:col>2</xdr:col>
                    <xdr:colOff>9525</xdr:colOff>
                    <xdr:row>2</xdr:row>
                    <xdr:rowOff>9525</xdr:rowOff>
                  </from>
                  <to>
                    <xdr:col>2</xdr:col>
                    <xdr:colOff>990600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Button_clearAll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600075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Button_clearRes">
                <anchor moveWithCells="1" sizeWithCells="1">
                  <from>
                    <xdr:col>3</xdr:col>
                    <xdr:colOff>9525</xdr:colOff>
                    <xdr:row>2</xdr:row>
                    <xdr:rowOff>9525</xdr:rowOff>
                  </from>
                  <to>
                    <xdr:col>3</xdr:col>
                    <xdr:colOff>733425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Button_Refresh">
                <anchor moveWithCells="1" sizeWithCells="1">
                  <from>
                    <xdr:col>6</xdr:col>
                    <xdr:colOff>9525</xdr:colOff>
                    <xdr:row>2</xdr:row>
                    <xdr:rowOff>9525</xdr:rowOff>
                  </from>
                  <to>
                    <xdr:col>6</xdr:col>
                    <xdr:colOff>600075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Button_MEF">
                <anchor moveWithCells="1" sizeWithCells="1">
                  <from>
                    <xdr:col>5</xdr:col>
                    <xdr:colOff>9525</xdr:colOff>
                    <xdr:row>2</xdr:row>
                    <xdr:rowOff>9525</xdr:rowOff>
                  </from>
                  <to>
                    <xdr:col>6</xdr:col>
                    <xdr:colOff>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rgb="FFFF0000"/>
    <outlinePr summaryBelow="0" summaryRight="0"/>
  </sheetPr>
  <dimension ref="A1:M50"/>
  <sheetViews>
    <sheetView topLeftCell="B2" zoomScaleNormal="100" workbookViewId="0"/>
  </sheetViews>
  <sheetFormatPr baseColWidth="10" defaultRowHeight="15" x14ac:dyDescent="0.25"/>
  <cols>
    <col min="1" max="1" width="0" style="50" hidden="1" customWidth="1"/>
    <col min="2" max="2" width="5.7109375" style="5" customWidth="1"/>
    <col min="3" max="3" width="25.5703125" customWidth="1"/>
    <col min="4" max="4" width="5.42578125" customWidth="1"/>
    <col min="5" max="5" width="11.42578125" customWidth="1"/>
    <col min="6" max="6" width="25.7109375" customWidth="1"/>
    <col min="7" max="7" width="7.7109375" customWidth="1"/>
    <col min="8" max="8" width="20" customWidth="1"/>
    <col min="9" max="9" width="19.85546875" customWidth="1"/>
    <col min="10" max="10" width="11.42578125" customWidth="1"/>
    <col min="11" max="11" width="26.140625" customWidth="1"/>
    <col min="12" max="12" width="23.85546875" customWidth="1"/>
    <col min="13" max="13" width="12.5703125" hidden="1" customWidth="1"/>
    <col min="14" max="14" width="13.5703125" customWidth="1"/>
    <col min="15" max="15" width="19.85546875" bestFit="1" customWidth="1"/>
    <col min="16" max="16" width="12.5703125" bestFit="1" customWidth="1"/>
  </cols>
  <sheetData>
    <row r="1" spans="1:13" s="50" customFormat="1" hidden="1" x14ac:dyDescent="0.25"/>
    <row r="3" spans="1:13" ht="18.75" customHeight="1" x14ac:dyDescent="0.25">
      <c r="C3" s="129" t="s">
        <v>468</v>
      </c>
      <c r="D3" s="129"/>
      <c r="E3" s="129"/>
      <c r="F3" s="129"/>
      <c r="G3" s="129"/>
      <c r="H3" s="129"/>
      <c r="I3" s="129"/>
      <c r="J3" s="129"/>
      <c r="K3" s="129"/>
      <c r="L3" s="129"/>
    </row>
    <row r="5" spans="1:13" s="50" customFormat="1" x14ac:dyDescent="0.25">
      <c r="C5" s="130" t="s">
        <v>495</v>
      </c>
      <c r="D5" s="130"/>
      <c r="F5" s="130" t="s">
        <v>496</v>
      </c>
      <c r="G5" s="130"/>
      <c r="H5" s="130"/>
      <c r="I5" s="130"/>
      <c r="K5" s="130" t="s">
        <v>497</v>
      </c>
      <c r="L5" s="130"/>
    </row>
    <row r="6" spans="1:13" hidden="1" x14ac:dyDescent="0.25">
      <c r="E6" s="50"/>
      <c r="F6" s="3"/>
      <c r="G6" s="50"/>
      <c r="H6" s="50"/>
      <c r="I6" s="4"/>
      <c r="J6" s="50"/>
    </row>
    <row r="7" spans="1:13" hidden="1" x14ac:dyDescent="0.25">
      <c r="E7" s="50"/>
      <c r="G7" s="93" t="s">
        <v>463</v>
      </c>
      <c r="J7" s="50"/>
      <c r="K7" s="93" t="s">
        <v>703</v>
      </c>
      <c r="L7" s="93" t="s">
        <v>702</v>
      </c>
    </row>
    <row r="8" spans="1:13" x14ac:dyDescent="0.25">
      <c r="C8" s="93" t="s">
        <v>467</v>
      </c>
      <c r="D8" t="s">
        <v>464</v>
      </c>
      <c r="E8" s="50"/>
      <c r="F8" s="93" t="s">
        <v>328</v>
      </c>
      <c r="G8" s="85" t="s">
        <v>464</v>
      </c>
      <c r="H8" s="85" t="s">
        <v>466</v>
      </c>
      <c r="I8" s="85" t="s">
        <v>502</v>
      </c>
      <c r="J8" s="50"/>
      <c r="K8" s="93" t="s">
        <v>328</v>
      </c>
      <c r="L8" s="85" t="s">
        <v>863</v>
      </c>
      <c r="M8" s="85" t="s">
        <v>14</v>
      </c>
    </row>
    <row r="9" spans="1:13" x14ac:dyDescent="0.25">
      <c r="C9" s="86" t="s">
        <v>861</v>
      </c>
      <c r="D9" s="87"/>
      <c r="E9" s="50"/>
      <c r="F9" s="86" t="s">
        <v>330</v>
      </c>
      <c r="G9" s="87">
        <v>2</v>
      </c>
      <c r="H9" s="95">
        <v>0.01</v>
      </c>
      <c r="I9" s="95">
        <v>0.01</v>
      </c>
      <c r="J9" s="50"/>
      <c r="K9" s="86" t="s">
        <v>330</v>
      </c>
      <c r="L9" s="87">
        <v>1</v>
      </c>
      <c r="M9" s="87">
        <v>1</v>
      </c>
    </row>
    <row r="10" spans="1:13" x14ac:dyDescent="0.25">
      <c r="C10" s="94" t="s">
        <v>865</v>
      </c>
      <c r="D10" s="87"/>
      <c r="E10" s="50"/>
      <c r="F10" s="86" t="s">
        <v>333</v>
      </c>
      <c r="G10" s="87">
        <v>3</v>
      </c>
      <c r="H10" s="95">
        <v>0.02</v>
      </c>
      <c r="I10" s="95">
        <v>0.02</v>
      </c>
      <c r="J10" s="50"/>
      <c r="K10" s="86" t="s">
        <v>333</v>
      </c>
      <c r="L10" s="87">
        <v>2</v>
      </c>
      <c r="M10" s="87">
        <v>2</v>
      </c>
    </row>
    <row r="11" spans="1:13" x14ac:dyDescent="0.25">
      <c r="C11" s="96" t="s">
        <v>864</v>
      </c>
      <c r="D11" s="87">
        <v>69</v>
      </c>
      <c r="E11" s="50"/>
      <c r="F11" s="86" t="s">
        <v>13</v>
      </c>
      <c r="G11" s="87">
        <v>5</v>
      </c>
      <c r="H11" s="95">
        <v>0.01</v>
      </c>
      <c r="I11" s="95">
        <v>0.01</v>
      </c>
      <c r="J11" s="50"/>
      <c r="K11" s="86" t="s">
        <v>13</v>
      </c>
      <c r="L11" s="87">
        <v>1</v>
      </c>
      <c r="M11" s="87">
        <v>1</v>
      </c>
    </row>
    <row r="12" spans="1:13" x14ac:dyDescent="0.25">
      <c r="C12" s="94" t="s">
        <v>863</v>
      </c>
      <c r="D12" s="87"/>
      <c r="E12" s="50"/>
      <c r="F12" s="86" t="s">
        <v>343</v>
      </c>
      <c r="G12" s="87">
        <v>1</v>
      </c>
      <c r="H12" s="95">
        <v>0</v>
      </c>
      <c r="I12" s="95">
        <v>0</v>
      </c>
      <c r="J12" s="50"/>
      <c r="K12" s="86" t="s">
        <v>11</v>
      </c>
      <c r="L12" s="87">
        <v>4</v>
      </c>
      <c r="M12" s="87">
        <v>4</v>
      </c>
    </row>
    <row r="13" spans="1:13" s="6" customFormat="1" x14ac:dyDescent="0.25">
      <c r="A13" s="50"/>
      <c r="C13" s="96" t="s">
        <v>862</v>
      </c>
      <c r="D13" s="87">
        <v>55</v>
      </c>
      <c r="E13" s="50"/>
      <c r="F13" s="86" t="s">
        <v>11</v>
      </c>
      <c r="G13" s="87">
        <v>7</v>
      </c>
      <c r="H13" s="95">
        <v>0.04</v>
      </c>
      <c r="I13" s="95">
        <v>0.04</v>
      </c>
      <c r="J13" s="50"/>
      <c r="K13" s="86" t="s">
        <v>12</v>
      </c>
      <c r="L13" s="87">
        <v>10</v>
      </c>
      <c r="M13" s="87">
        <v>10</v>
      </c>
    </row>
    <row r="14" spans="1:13" s="50" customFormat="1" x14ac:dyDescent="0.25">
      <c r="C14" s="94" t="s">
        <v>876</v>
      </c>
      <c r="D14" s="87"/>
      <c r="F14" s="86" t="s">
        <v>12</v>
      </c>
      <c r="G14" s="87">
        <v>12</v>
      </c>
      <c r="H14" s="95">
        <v>9.9999999999999992E-2</v>
      </c>
      <c r="I14" s="95">
        <v>9.9999999999999992E-2</v>
      </c>
      <c r="K14" s="86" t="s">
        <v>10</v>
      </c>
      <c r="L14" s="87">
        <v>2</v>
      </c>
      <c r="M14" s="87">
        <v>2</v>
      </c>
    </row>
    <row r="15" spans="1:13" s="50" customFormat="1" x14ac:dyDescent="0.25">
      <c r="C15" s="96" t="s">
        <v>862</v>
      </c>
      <c r="D15" s="87">
        <v>2</v>
      </c>
      <c r="F15" s="86" t="s">
        <v>10</v>
      </c>
      <c r="G15" s="87">
        <v>6</v>
      </c>
      <c r="H15" s="95">
        <v>0.02</v>
      </c>
      <c r="I15" s="95">
        <v>0.02</v>
      </c>
      <c r="K15" s="86" t="s">
        <v>360</v>
      </c>
      <c r="L15" s="87">
        <v>1</v>
      </c>
      <c r="M15" s="87">
        <v>1</v>
      </c>
    </row>
    <row r="16" spans="1:13" s="50" customFormat="1" x14ac:dyDescent="0.25">
      <c r="C16" s="86" t="s">
        <v>14</v>
      </c>
      <c r="D16" s="87">
        <v>126</v>
      </c>
      <c r="F16" s="86" t="s">
        <v>360</v>
      </c>
      <c r="G16" s="87">
        <v>4</v>
      </c>
      <c r="H16" s="95">
        <v>0.01</v>
      </c>
      <c r="I16" s="95">
        <v>0.01</v>
      </c>
      <c r="K16" s="86" t="s">
        <v>370</v>
      </c>
      <c r="L16" s="87">
        <v>1</v>
      </c>
      <c r="M16" s="87">
        <v>1</v>
      </c>
    </row>
    <row r="17" spans="3:13" s="50" customFormat="1" x14ac:dyDescent="0.25">
      <c r="C17"/>
      <c r="D17"/>
      <c r="F17" s="86" t="s">
        <v>370</v>
      </c>
      <c r="G17" s="87">
        <v>1</v>
      </c>
      <c r="H17" s="95">
        <v>0.01</v>
      </c>
      <c r="I17" s="95">
        <v>0.01</v>
      </c>
      <c r="K17" s="86" t="s">
        <v>375</v>
      </c>
      <c r="L17" s="87">
        <v>1</v>
      </c>
      <c r="M17" s="87">
        <v>1</v>
      </c>
    </row>
    <row r="18" spans="3:13" s="50" customFormat="1" x14ac:dyDescent="0.25">
      <c r="C18"/>
      <c r="D18"/>
      <c r="F18" s="86" t="s">
        <v>375</v>
      </c>
      <c r="G18" s="87">
        <v>3</v>
      </c>
      <c r="H18" s="95">
        <v>0.01</v>
      </c>
      <c r="I18" s="95">
        <v>0.01</v>
      </c>
      <c r="J18"/>
      <c r="K18" s="86" t="s">
        <v>378</v>
      </c>
      <c r="L18" s="87">
        <v>7</v>
      </c>
      <c r="M18" s="87">
        <v>7</v>
      </c>
    </row>
    <row r="19" spans="3:13" x14ac:dyDescent="0.25">
      <c r="E19" s="50"/>
      <c r="F19" s="86" t="s">
        <v>378</v>
      </c>
      <c r="G19" s="87">
        <v>19</v>
      </c>
      <c r="H19" s="95">
        <v>7.0000000000000007E-2</v>
      </c>
      <c r="I19" s="95">
        <v>7.0000000000000007E-2</v>
      </c>
      <c r="K19" s="86" t="s">
        <v>386</v>
      </c>
      <c r="L19" s="87">
        <v>3</v>
      </c>
      <c r="M19" s="87">
        <v>3</v>
      </c>
    </row>
    <row r="20" spans="3:13" s="50" customFormat="1" x14ac:dyDescent="0.25">
      <c r="C20"/>
      <c r="D20"/>
      <c r="E20" s="51"/>
      <c r="F20" s="86" t="s">
        <v>386</v>
      </c>
      <c r="G20" s="87">
        <v>7</v>
      </c>
      <c r="H20" s="95">
        <v>0.03</v>
      </c>
      <c r="I20" s="95">
        <v>0.03</v>
      </c>
      <c r="J20"/>
      <c r="K20" s="86" t="s">
        <v>8</v>
      </c>
      <c r="L20" s="87">
        <v>2</v>
      </c>
      <c r="M20" s="87">
        <v>2</v>
      </c>
    </row>
    <row r="21" spans="3:13" x14ac:dyDescent="0.25">
      <c r="F21" s="86" t="s">
        <v>392</v>
      </c>
      <c r="G21" s="87">
        <v>1</v>
      </c>
      <c r="H21" s="95">
        <v>1</v>
      </c>
      <c r="I21" s="95">
        <v>0.01</v>
      </c>
      <c r="K21" s="86" t="s">
        <v>400</v>
      </c>
      <c r="L21" s="87">
        <v>1</v>
      </c>
      <c r="M21" s="87">
        <v>1</v>
      </c>
    </row>
    <row r="22" spans="3:13" x14ac:dyDescent="0.25">
      <c r="F22" s="86" t="s">
        <v>8</v>
      </c>
      <c r="G22" s="87">
        <v>6</v>
      </c>
      <c r="H22" s="95">
        <v>0.02</v>
      </c>
      <c r="I22" s="95">
        <v>0.02</v>
      </c>
      <c r="K22" s="86" t="s">
        <v>408</v>
      </c>
      <c r="L22" s="87">
        <v>4</v>
      </c>
      <c r="M22" s="87">
        <v>4</v>
      </c>
    </row>
    <row r="23" spans="3:13" x14ac:dyDescent="0.25">
      <c r="F23" s="86" t="s">
        <v>400</v>
      </c>
      <c r="G23" s="87">
        <v>4</v>
      </c>
      <c r="H23" s="95">
        <v>0.01</v>
      </c>
      <c r="I23" s="95">
        <v>0.01</v>
      </c>
      <c r="K23" s="86" t="s">
        <v>412</v>
      </c>
      <c r="L23" s="87">
        <v>9</v>
      </c>
      <c r="M23" s="87">
        <v>9</v>
      </c>
    </row>
    <row r="24" spans="3:13" x14ac:dyDescent="0.25">
      <c r="F24" s="86" t="s">
        <v>408</v>
      </c>
      <c r="G24" s="87">
        <v>8</v>
      </c>
      <c r="H24" s="95">
        <v>0.04</v>
      </c>
      <c r="I24" s="95">
        <v>0.04</v>
      </c>
      <c r="K24" s="86" t="s">
        <v>421</v>
      </c>
      <c r="L24" s="87">
        <v>1</v>
      </c>
      <c r="M24" s="87">
        <v>1</v>
      </c>
    </row>
    <row r="25" spans="3:13" x14ac:dyDescent="0.25">
      <c r="F25" s="86" t="s">
        <v>412</v>
      </c>
      <c r="G25" s="87">
        <v>16</v>
      </c>
      <c r="H25" s="95">
        <v>0.09</v>
      </c>
      <c r="I25" s="95">
        <v>0.09</v>
      </c>
      <c r="K25" s="86" t="s">
        <v>426</v>
      </c>
      <c r="L25" s="87">
        <v>2</v>
      </c>
      <c r="M25" s="87">
        <v>2</v>
      </c>
    </row>
    <row r="26" spans="3:13" x14ac:dyDescent="0.25">
      <c r="F26" s="86" t="s">
        <v>6</v>
      </c>
      <c r="G26" s="87">
        <v>4</v>
      </c>
      <c r="H26" s="95">
        <v>0</v>
      </c>
      <c r="I26" s="95">
        <v>0</v>
      </c>
      <c r="K26" s="86" t="s">
        <v>433</v>
      </c>
      <c r="L26" s="87">
        <v>3</v>
      </c>
      <c r="M26" s="87">
        <v>3</v>
      </c>
    </row>
    <row r="27" spans="3:13" x14ac:dyDescent="0.25">
      <c r="F27" s="86" t="s">
        <v>421</v>
      </c>
      <c r="G27" s="87">
        <v>2</v>
      </c>
      <c r="H27" s="95">
        <v>0.01</v>
      </c>
      <c r="I27" s="95">
        <v>0.01</v>
      </c>
      <c r="K27" s="86" t="s">
        <v>14</v>
      </c>
      <c r="L27" s="87">
        <v>55</v>
      </c>
      <c r="M27" s="87">
        <v>55</v>
      </c>
    </row>
    <row r="28" spans="3:13" x14ac:dyDescent="0.25">
      <c r="F28" s="86" t="s">
        <v>426</v>
      </c>
      <c r="G28" s="87">
        <v>7</v>
      </c>
      <c r="H28" s="95">
        <v>1.02</v>
      </c>
      <c r="I28" s="95">
        <v>0.03</v>
      </c>
    </row>
    <row r="29" spans="3:13" x14ac:dyDescent="0.25">
      <c r="F29" s="86" t="s">
        <v>433</v>
      </c>
      <c r="G29" s="87">
        <v>8</v>
      </c>
      <c r="H29" s="95">
        <v>0.03</v>
      </c>
      <c r="I29" s="95">
        <v>0.03</v>
      </c>
    </row>
    <row r="30" spans="3:13" x14ac:dyDescent="0.25">
      <c r="F30" s="86" t="s">
        <v>14</v>
      </c>
      <c r="G30" s="87">
        <v>126</v>
      </c>
      <c r="H30" s="95">
        <v>2.5499999999999994</v>
      </c>
      <c r="I30" s="95">
        <v>0.57000000000000028</v>
      </c>
    </row>
    <row r="31" spans="3:13" x14ac:dyDescent="0.25">
      <c r="J31" s="1"/>
    </row>
    <row r="32" spans="3:13" x14ac:dyDescent="0.25">
      <c r="F32" s="1"/>
      <c r="G32" s="1"/>
      <c r="H32" s="1"/>
      <c r="J32" s="1"/>
    </row>
    <row r="36" spans="1:13" s="1" customFormat="1" x14ac:dyDescent="0.25">
      <c r="A36" s="50"/>
      <c r="B36" s="5"/>
      <c r="K36"/>
      <c r="L36"/>
      <c r="M36"/>
    </row>
    <row r="37" spans="1:13" s="1" customFormat="1" x14ac:dyDescent="0.25">
      <c r="A37" s="50"/>
      <c r="B37" s="5"/>
      <c r="K37"/>
      <c r="L37"/>
      <c r="M37"/>
    </row>
    <row r="38" spans="1:13" s="1" customFormat="1" x14ac:dyDescent="0.25">
      <c r="A38" s="50"/>
      <c r="B38" s="5"/>
      <c r="K38"/>
      <c r="L38"/>
      <c r="M38"/>
    </row>
    <row r="39" spans="1:13" s="1" customFormat="1" x14ac:dyDescent="0.25">
      <c r="A39" s="50"/>
      <c r="B39" s="5"/>
      <c r="K39"/>
      <c r="L39"/>
      <c r="M39"/>
    </row>
    <row r="40" spans="1:13" s="1" customFormat="1" x14ac:dyDescent="0.25">
      <c r="A40" s="50"/>
      <c r="B40" s="5"/>
      <c r="K40"/>
      <c r="L40"/>
      <c r="M40"/>
    </row>
    <row r="41" spans="1:13" s="1" customFormat="1" x14ac:dyDescent="0.25">
      <c r="A41" s="50"/>
      <c r="B41" s="5"/>
      <c r="K41"/>
      <c r="L41"/>
      <c r="M41"/>
    </row>
    <row r="42" spans="1:13" s="1" customFormat="1" x14ac:dyDescent="0.25">
      <c r="A42" s="50"/>
      <c r="B42" s="5"/>
      <c r="K42"/>
      <c r="L42"/>
      <c r="M42"/>
    </row>
    <row r="43" spans="1:13" s="1" customFormat="1" x14ac:dyDescent="0.25">
      <c r="A43" s="50"/>
      <c r="B43" s="5"/>
      <c r="K43"/>
      <c r="L43"/>
      <c r="M43"/>
    </row>
    <row r="44" spans="1:13" s="1" customFormat="1" x14ac:dyDescent="0.25">
      <c r="A44" s="50"/>
      <c r="B44" s="5"/>
      <c r="K44"/>
      <c r="L44"/>
      <c r="M44"/>
    </row>
    <row r="45" spans="1:13" s="1" customFormat="1" x14ac:dyDescent="0.25">
      <c r="A45" s="50"/>
      <c r="B45" s="5"/>
      <c r="K45"/>
      <c r="L45"/>
      <c r="M45"/>
    </row>
    <row r="46" spans="1:13" s="1" customFormat="1" x14ac:dyDescent="0.25">
      <c r="A46" s="50"/>
      <c r="B46" s="5"/>
      <c r="K46"/>
      <c r="L46"/>
      <c r="M46"/>
    </row>
    <row r="47" spans="1:13" s="1" customFormat="1" x14ac:dyDescent="0.25">
      <c r="A47" s="50"/>
      <c r="B47" s="5"/>
      <c r="K47"/>
      <c r="L47"/>
      <c r="M47"/>
    </row>
    <row r="48" spans="1:13" s="1" customFormat="1" x14ac:dyDescent="0.25">
      <c r="A48" s="50"/>
      <c r="B48" s="5"/>
      <c r="F48"/>
      <c r="H48"/>
      <c r="I48"/>
      <c r="K48"/>
      <c r="L48"/>
      <c r="M48"/>
    </row>
    <row r="49" spans="1:13" s="1" customFormat="1" x14ac:dyDescent="0.25">
      <c r="A49" s="50"/>
      <c r="B49" s="5"/>
      <c r="F49"/>
      <c r="H49"/>
      <c r="I49"/>
      <c r="K49"/>
      <c r="L49"/>
      <c r="M49"/>
    </row>
    <row r="50" spans="1:13" x14ac:dyDescent="0.25">
      <c r="C50" s="1"/>
      <c r="D50" s="1"/>
      <c r="E50" s="1"/>
    </row>
  </sheetData>
  <mergeCells count="4">
    <mergeCell ref="C3:L3"/>
    <mergeCell ref="C5:D5"/>
    <mergeCell ref="F5:I5"/>
    <mergeCell ref="K5:L5"/>
  </mergeCells>
  <pageMargins left="0.7" right="0.7" top="0.75" bottom="0.75" header="0.3" footer="0.3"/>
  <pageSetup paperSize="9" orientation="portrait" verticalDpi="598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7" name="Button 2">
              <controlPr defaultSize="0" print="0" autoFill="0" autoPict="0" macro="[0]!goMain">
                <anchor moveWithCells="1" sizeWithCells="1">
                  <from>
                    <xdr:col>3</xdr:col>
                    <xdr:colOff>19050</xdr:colOff>
                    <xdr:row>0</xdr:row>
                    <xdr:rowOff>0</xdr:rowOff>
                  </from>
                  <to>
                    <xdr:col>3</xdr:col>
                    <xdr:colOff>523875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8" name="Button 3">
              <controlPr defaultSize="0" print="0" autoFill="0" autoPict="0" macro="[0]!clearAllMain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2</xdr:col>
                    <xdr:colOff>466725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9" name="Button 4">
              <controlPr defaultSize="0" print="0" autoFill="0" autoPict="0" macro="[0]!clearResMain">
                <anchor moveWithCells="1" sizeWithCells="1">
                  <from>
                    <xdr:col>2</xdr:col>
                    <xdr:colOff>485775</xdr:colOff>
                    <xdr:row>0</xdr:row>
                    <xdr:rowOff>0</xdr:rowOff>
                  </from>
                  <to>
                    <xdr:col>2</xdr:col>
                    <xdr:colOff>942975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10" name="Button 5">
              <controlPr defaultSize="0" print="0" autoFill="0" autoPict="0" macro="[0]!updateAnalyse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4</xdr:col>
                    <xdr:colOff>876300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11" name="Button 6">
              <controlPr defaultSize="0" print="0" autoFill="0" autoPict="0" macro="[0]!stopMain">
                <anchor moveWithCells="1" sizeWithCells="1">
                  <from>
                    <xdr:col>3</xdr:col>
                    <xdr:colOff>542925</xdr:colOff>
                    <xdr:row>0</xdr:row>
                    <xdr:rowOff>0</xdr:rowOff>
                  </from>
                  <to>
                    <xdr:col>3</xdr:col>
                    <xdr:colOff>1038225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2" name="Button 8">
              <controlPr defaultSize="0" print="0" autoFill="0" autoPict="0" macro="[0]!Button_MEF">
                <anchor moveWithCells="1" sizeWithCells="1">
                  <from>
                    <xdr:col>2</xdr:col>
                    <xdr:colOff>962025</xdr:colOff>
                    <xdr:row>0</xdr:row>
                    <xdr:rowOff>0</xdr:rowOff>
                  </from>
                  <to>
                    <xdr:col>2</xdr:col>
                    <xdr:colOff>1390650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rgb="FFFF0000"/>
    <outlinePr summaryBelow="0" summaryRight="0"/>
  </sheetPr>
  <dimension ref="C1:O31"/>
  <sheetViews>
    <sheetView topLeftCell="B2" zoomScaleNormal="100" workbookViewId="0"/>
  </sheetViews>
  <sheetFormatPr baseColWidth="10" defaultRowHeight="15" x14ac:dyDescent="0.25"/>
  <cols>
    <col min="1" max="1" width="0" style="65" hidden="1" customWidth="1"/>
    <col min="2" max="2" width="5.7109375" style="65" customWidth="1"/>
    <col min="3" max="3" width="25.5703125" style="65" customWidth="1"/>
    <col min="4" max="4" width="5.42578125" style="65" customWidth="1"/>
    <col min="5" max="5" width="11.42578125" style="65" customWidth="1"/>
    <col min="6" max="6" width="25.7109375" style="65" customWidth="1"/>
    <col min="7" max="7" width="7.7109375" style="65" customWidth="1"/>
    <col min="8" max="8" width="20" style="65" customWidth="1"/>
    <col min="9" max="9" width="11.42578125" style="65" customWidth="1"/>
    <col min="10" max="10" width="26.140625" style="65" customWidth="1"/>
    <col min="11" max="11" width="23.85546875" style="65" customWidth="1"/>
    <col min="12" max="12" width="12.5703125" style="65" hidden="1" customWidth="1"/>
    <col min="13" max="14" width="12.5703125" style="65" customWidth="1"/>
    <col min="15" max="15" width="12.5703125" style="65" bestFit="1" customWidth="1"/>
    <col min="16" max="16384" width="11.42578125" style="65"/>
  </cols>
  <sheetData>
    <row r="1" spans="3:15" hidden="1" x14ac:dyDescent="0.25"/>
    <row r="3" spans="3:15" ht="18.75" customHeight="1" x14ac:dyDescent="0.25">
      <c r="C3" s="129" t="s">
        <v>468</v>
      </c>
      <c r="D3" s="129"/>
      <c r="E3" s="129"/>
      <c r="F3" s="129"/>
      <c r="G3" s="129"/>
      <c r="H3" s="129"/>
      <c r="I3" s="129"/>
      <c r="J3" s="129"/>
      <c r="K3" s="129"/>
    </row>
    <row r="5" spans="3:15" x14ac:dyDescent="0.25">
      <c r="C5" s="130" t="s">
        <v>495</v>
      </c>
      <c r="D5" s="130"/>
      <c r="F5" s="130" t="s">
        <v>691</v>
      </c>
      <c r="G5" s="130"/>
      <c r="H5" s="130"/>
      <c r="J5" s="130" t="s">
        <v>497</v>
      </c>
      <c r="K5" s="130"/>
    </row>
    <row r="6" spans="3:15" hidden="1" x14ac:dyDescent="0.25">
      <c r="F6" s="66"/>
    </row>
    <row r="7" spans="3:15" hidden="1" x14ac:dyDescent="0.25">
      <c r="F7"/>
      <c r="G7" s="93" t="s">
        <v>463</v>
      </c>
      <c r="H7"/>
      <c r="J7" s="93" t="s">
        <v>703</v>
      </c>
      <c r="K7" s="93" t="s">
        <v>702</v>
      </c>
      <c r="L7"/>
      <c r="M7"/>
      <c r="N7"/>
      <c r="O7"/>
    </row>
    <row r="8" spans="3:15" x14ac:dyDescent="0.25">
      <c r="C8" s="93" t="s">
        <v>467</v>
      </c>
      <c r="D8" t="s">
        <v>464</v>
      </c>
      <c r="F8" s="93" t="s">
        <v>328</v>
      </c>
      <c r="G8" s="85" t="s">
        <v>464</v>
      </c>
      <c r="H8" s="85" t="s">
        <v>466</v>
      </c>
      <c r="J8" s="93" t="s">
        <v>328</v>
      </c>
      <c r="K8" s="85" t="s">
        <v>863</v>
      </c>
      <c r="L8" s="85" t="s">
        <v>14</v>
      </c>
      <c r="M8"/>
      <c r="N8"/>
      <c r="O8"/>
    </row>
    <row r="9" spans="3:15" x14ac:dyDescent="0.25">
      <c r="C9" s="86" t="s">
        <v>861</v>
      </c>
      <c r="D9" s="87"/>
      <c r="F9" s="86" t="s">
        <v>330</v>
      </c>
      <c r="G9" s="87">
        <v>2</v>
      </c>
      <c r="H9" s="95">
        <v>0.01</v>
      </c>
      <c r="J9" s="86" t="s">
        <v>330</v>
      </c>
      <c r="K9" s="87">
        <v>1</v>
      </c>
      <c r="L9" s="87">
        <v>1</v>
      </c>
      <c r="M9"/>
      <c r="N9"/>
      <c r="O9"/>
    </row>
    <row r="10" spans="3:15" x14ac:dyDescent="0.25">
      <c r="C10" s="94" t="s">
        <v>865</v>
      </c>
      <c r="D10" s="87"/>
      <c r="F10" s="86" t="s">
        <v>333</v>
      </c>
      <c r="G10" s="87">
        <v>3</v>
      </c>
      <c r="H10" s="95">
        <v>0.02</v>
      </c>
      <c r="J10" s="86" t="s">
        <v>333</v>
      </c>
      <c r="K10" s="87">
        <v>2</v>
      </c>
      <c r="L10" s="87">
        <v>2</v>
      </c>
      <c r="M10"/>
      <c r="N10"/>
      <c r="O10"/>
    </row>
    <row r="11" spans="3:15" x14ac:dyDescent="0.25">
      <c r="C11" s="96" t="s">
        <v>864</v>
      </c>
      <c r="D11" s="87">
        <v>69</v>
      </c>
      <c r="F11" s="86" t="s">
        <v>13</v>
      </c>
      <c r="G11" s="87">
        <v>5</v>
      </c>
      <c r="H11" s="95">
        <v>0.01</v>
      </c>
      <c r="J11" s="86" t="s">
        <v>13</v>
      </c>
      <c r="K11" s="87">
        <v>1</v>
      </c>
      <c r="L11" s="87">
        <v>1</v>
      </c>
    </row>
    <row r="12" spans="3:15" x14ac:dyDescent="0.25">
      <c r="C12" s="94" t="s">
        <v>863</v>
      </c>
      <c r="D12" s="87"/>
      <c r="F12" s="86" t="s">
        <v>343</v>
      </c>
      <c r="G12" s="87">
        <v>1</v>
      </c>
      <c r="H12" s="95">
        <v>0</v>
      </c>
      <c r="J12" s="86" t="s">
        <v>11</v>
      </c>
      <c r="K12" s="87">
        <v>4</v>
      </c>
      <c r="L12" s="87">
        <v>4</v>
      </c>
    </row>
    <row r="13" spans="3:15" x14ac:dyDescent="0.25">
      <c r="C13" s="96" t="s">
        <v>862</v>
      </c>
      <c r="D13" s="87">
        <v>55</v>
      </c>
      <c r="F13" s="86" t="s">
        <v>11</v>
      </c>
      <c r="G13" s="87">
        <v>7</v>
      </c>
      <c r="H13" s="95">
        <v>0.04</v>
      </c>
      <c r="J13" s="86" t="s">
        <v>12</v>
      </c>
      <c r="K13" s="87">
        <v>10</v>
      </c>
      <c r="L13" s="87">
        <v>10</v>
      </c>
    </row>
    <row r="14" spans="3:15" x14ac:dyDescent="0.25">
      <c r="C14" s="94" t="s">
        <v>876</v>
      </c>
      <c r="D14" s="87"/>
      <c r="F14" s="86" t="s">
        <v>12</v>
      </c>
      <c r="G14" s="87">
        <v>12</v>
      </c>
      <c r="H14" s="95">
        <v>9.9999999999999992E-2</v>
      </c>
      <c r="J14" s="86" t="s">
        <v>10</v>
      </c>
      <c r="K14" s="87">
        <v>2</v>
      </c>
      <c r="L14" s="87">
        <v>2</v>
      </c>
    </row>
    <row r="15" spans="3:15" x14ac:dyDescent="0.25">
      <c r="C15" s="96" t="s">
        <v>862</v>
      </c>
      <c r="D15" s="87">
        <v>2</v>
      </c>
      <c r="F15" s="86" t="s">
        <v>10</v>
      </c>
      <c r="G15" s="87">
        <v>6</v>
      </c>
      <c r="H15" s="95">
        <v>0.02</v>
      </c>
      <c r="J15" s="86" t="s">
        <v>360</v>
      </c>
      <c r="K15" s="87">
        <v>1</v>
      </c>
      <c r="L15" s="87">
        <v>1</v>
      </c>
    </row>
    <row r="16" spans="3:15" x14ac:dyDescent="0.25">
      <c r="C16" s="86" t="s">
        <v>14</v>
      </c>
      <c r="D16" s="87">
        <v>126</v>
      </c>
      <c r="F16" s="86" t="s">
        <v>360</v>
      </c>
      <c r="G16" s="87">
        <v>4</v>
      </c>
      <c r="H16" s="95">
        <v>0.01</v>
      </c>
      <c r="J16" s="86" t="s">
        <v>370</v>
      </c>
      <c r="K16" s="87">
        <v>1</v>
      </c>
      <c r="L16" s="87">
        <v>1</v>
      </c>
    </row>
    <row r="17" spans="3:12" x14ac:dyDescent="0.25">
      <c r="C17"/>
      <c r="D17"/>
      <c r="F17" s="86" t="s">
        <v>370</v>
      </c>
      <c r="G17" s="87">
        <v>1</v>
      </c>
      <c r="H17" s="95">
        <v>0.01</v>
      </c>
      <c r="J17" s="86" t="s">
        <v>375</v>
      </c>
      <c r="K17" s="87">
        <v>1</v>
      </c>
      <c r="L17" s="87">
        <v>1</v>
      </c>
    </row>
    <row r="18" spans="3:12" x14ac:dyDescent="0.25">
      <c r="C18"/>
      <c r="D18"/>
      <c r="F18" s="86" t="s">
        <v>375</v>
      </c>
      <c r="G18" s="87">
        <v>3</v>
      </c>
      <c r="H18" s="95">
        <v>0.01</v>
      </c>
      <c r="J18" s="86" t="s">
        <v>378</v>
      </c>
      <c r="K18" s="87">
        <v>7</v>
      </c>
      <c r="L18" s="87">
        <v>7</v>
      </c>
    </row>
    <row r="19" spans="3:12" x14ac:dyDescent="0.25">
      <c r="C19"/>
      <c r="D19"/>
      <c r="F19" s="86" t="s">
        <v>378</v>
      </c>
      <c r="G19" s="87">
        <v>19</v>
      </c>
      <c r="H19" s="95">
        <v>7.0000000000000007E-2</v>
      </c>
      <c r="J19" s="86" t="s">
        <v>386</v>
      </c>
      <c r="K19" s="87">
        <v>3</v>
      </c>
      <c r="L19" s="87">
        <v>3</v>
      </c>
    </row>
    <row r="20" spans="3:12" x14ac:dyDescent="0.25">
      <c r="C20"/>
      <c r="D20"/>
      <c r="E20" s="68"/>
      <c r="F20" s="86" t="s">
        <v>386</v>
      </c>
      <c r="G20" s="87">
        <v>7</v>
      </c>
      <c r="H20" s="95">
        <v>0.03</v>
      </c>
      <c r="J20" s="86" t="s">
        <v>8</v>
      </c>
      <c r="K20" s="87">
        <v>2</v>
      </c>
      <c r="L20" s="87">
        <v>2</v>
      </c>
    </row>
    <row r="21" spans="3:12" x14ac:dyDescent="0.25">
      <c r="C21"/>
      <c r="D21"/>
      <c r="F21" s="86" t="s">
        <v>392</v>
      </c>
      <c r="G21" s="87">
        <v>1</v>
      </c>
      <c r="H21" s="95">
        <v>1</v>
      </c>
      <c r="J21" s="86" t="s">
        <v>400</v>
      </c>
      <c r="K21" s="87">
        <v>1</v>
      </c>
      <c r="L21" s="87">
        <v>1</v>
      </c>
    </row>
    <row r="22" spans="3:12" x14ac:dyDescent="0.25">
      <c r="C22"/>
      <c r="D22"/>
      <c r="F22" s="86" t="s">
        <v>8</v>
      </c>
      <c r="G22" s="87">
        <v>6</v>
      </c>
      <c r="H22" s="95">
        <v>0.02</v>
      </c>
      <c r="J22" s="86" t="s">
        <v>408</v>
      </c>
      <c r="K22" s="87">
        <v>4</v>
      </c>
      <c r="L22" s="87">
        <v>4</v>
      </c>
    </row>
    <row r="23" spans="3:12" x14ac:dyDescent="0.25">
      <c r="C23"/>
      <c r="D23"/>
      <c r="F23" s="86" t="s">
        <v>400</v>
      </c>
      <c r="G23" s="87">
        <v>4</v>
      </c>
      <c r="H23" s="95">
        <v>0.01</v>
      </c>
      <c r="J23" s="86" t="s">
        <v>412</v>
      </c>
      <c r="K23" s="87">
        <v>9</v>
      </c>
      <c r="L23" s="87">
        <v>9</v>
      </c>
    </row>
    <row r="24" spans="3:12" x14ac:dyDescent="0.25">
      <c r="C24"/>
      <c r="D24"/>
      <c r="F24" s="86" t="s">
        <v>408</v>
      </c>
      <c r="G24" s="87">
        <v>8</v>
      </c>
      <c r="H24" s="95">
        <v>0.04</v>
      </c>
      <c r="J24" s="86" t="s">
        <v>421</v>
      </c>
      <c r="K24" s="87">
        <v>1</v>
      </c>
      <c r="L24" s="87">
        <v>1</v>
      </c>
    </row>
    <row r="25" spans="3:12" x14ac:dyDescent="0.25">
      <c r="C25"/>
      <c r="D25"/>
      <c r="F25" s="86" t="s">
        <v>412</v>
      </c>
      <c r="G25" s="87">
        <v>16</v>
      </c>
      <c r="H25" s="95">
        <v>0.09</v>
      </c>
      <c r="J25" s="86" t="s">
        <v>426</v>
      </c>
      <c r="K25" s="87">
        <v>2</v>
      </c>
      <c r="L25" s="87">
        <v>2</v>
      </c>
    </row>
    <row r="26" spans="3:12" x14ac:dyDescent="0.25">
      <c r="C26"/>
      <c r="D26"/>
      <c r="F26" s="86" t="s">
        <v>6</v>
      </c>
      <c r="G26" s="87">
        <v>4</v>
      </c>
      <c r="H26" s="95">
        <v>0</v>
      </c>
      <c r="J26" s="86" t="s">
        <v>433</v>
      </c>
      <c r="K26" s="87">
        <v>3</v>
      </c>
      <c r="L26" s="87">
        <v>3</v>
      </c>
    </row>
    <row r="27" spans="3:12" x14ac:dyDescent="0.25">
      <c r="C27"/>
      <c r="D27"/>
      <c r="F27" s="86" t="s">
        <v>421</v>
      </c>
      <c r="G27" s="87">
        <v>2</v>
      </c>
      <c r="H27" s="95">
        <v>0.01</v>
      </c>
      <c r="J27" s="86" t="s">
        <v>14</v>
      </c>
      <c r="K27" s="87">
        <v>55</v>
      </c>
      <c r="L27" s="87">
        <v>55</v>
      </c>
    </row>
    <row r="28" spans="3:12" x14ac:dyDescent="0.25">
      <c r="C28"/>
      <c r="D28"/>
      <c r="F28" s="86" t="s">
        <v>426</v>
      </c>
      <c r="G28" s="87">
        <v>7</v>
      </c>
      <c r="H28" s="95">
        <v>1.02</v>
      </c>
      <c r="J28"/>
      <c r="K28"/>
      <c r="L28"/>
    </row>
    <row r="29" spans="3:12" x14ac:dyDescent="0.25">
      <c r="F29" s="86" t="s">
        <v>433</v>
      </c>
      <c r="G29" s="87">
        <v>8</v>
      </c>
      <c r="H29" s="95">
        <v>0.03</v>
      </c>
      <c r="J29"/>
      <c r="K29"/>
      <c r="L29"/>
    </row>
    <row r="30" spans="3:12" x14ac:dyDescent="0.25">
      <c r="F30" s="86" t="s">
        <v>14</v>
      </c>
      <c r="G30" s="87">
        <v>126</v>
      </c>
      <c r="H30" s="95">
        <v>2.5499999999999994</v>
      </c>
      <c r="J30"/>
      <c r="K30"/>
      <c r="L30"/>
    </row>
    <row r="31" spans="3:12" x14ac:dyDescent="0.25">
      <c r="F31"/>
      <c r="G31"/>
      <c r="H31"/>
      <c r="J31"/>
      <c r="K31"/>
      <c r="L31"/>
    </row>
  </sheetData>
  <mergeCells count="4">
    <mergeCell ref="C3:K3"/>
    <mergeCell ref="C5:D5"/>
    <mergeCell ref="J5:K5"/>
    <mergeCell ref="F5:H5"/>
  </mergeCells>
  <pageMargins left="0.7" right="0.7" top="0.75" bottom="0.75" header="0.3" footer="0.3"/>
  <pageSetup paperSize="9" orientation="portrait" verticalDpi="598"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E26"/>
  <sheetViews>
    <sheetView topLeftCell="B2" zoomScaleNormal="100" workbookViewId="0"/>
  </sheetViews>
  <sheetFormatPr baseColWidth="10" defaultRowHeight="15" x14ac:dyDescent="0.25"/>
  <cols>
    <col min="1" max="1" width="0" style="54" hidden="1" customWidth="1"/>
    <col min="2" max="2" width="4.42578125" style="14" customWidth="1"/>
    <col min="3" max="3" width="17.5703125" style="12" customWidth="1"/>
    <col min="4" max="4" width="41.28515625" style="22" customWidth="1"/>
    <col min="5" max="5" width="43.5703125" style="12" customWidth="1"/>
    <col min="6" max="6" width="5.85546875" customWidth="1"/>
    <col min="7" max="7" width="12.140625" customWidth="1"/>
  </cols>
  <sheetData>
    <row r="1" spans="1:5" s="54" customFormat="1" hidden="1" x14ac:dyDescent="0.25">
      <c r="C1" s="53"/>
      <c r="D1" s="22"/>
      <c r="E1" s="53"/>
    </row>
    <row r="2" spans="1:5" s="14" customFormat="1" x14ac:dyDescent="0.25">
      <c r="A2" s="54"/>
      <c r="C2" s="12"/>
      <c r="D2" s="22"/>
      <c r="E2" s="12"/>
    </row>
    <row r="3" spans="1:5" ht="15" customHeight="1" x14ac:dyDescent="0.25">
      <c r="C3" s="39" t="s">
        <v>449</v>
      </c>
      <c r="D3" s="40" t="s">
        <v>447</v>
      </c>
      <c r="E3" s="41" t="s">
        <v>448</v>
      </c>
    </row>
    <row r="4" spans="1:5" s="14" customFormat="1" ht="15" customHeight="1" x14ac:dyDescent="0.25">
      <c r="A4" s="54"/>
      <c r="C4" s="32" t="s">
        <v>511</v>
      </c>
      <c r="D4" s="67" t="s">
        <v>698</v>
      </c>
      <c r="E4" s="98" t="s">
        <v>690</v>
      </c>
    </row>
    <row r="5" spans="1:5" s="56" customFormat="1" ht="15" customHeight="1" x14ac:dyDescent="0.25">
      <c r="C5" s="32" t="s">
        <v>251</v>
      </c>
      <c r="D5" s="33" t="s">
        <v>501</v>
      </c>
      <c r="E5" s="98" t="s">
        <v>693</v>
      </c>
    </row>
    <row r="6" spans="1:5" s="14" customFormat="1" ht="15" customHeight="1" x14ac:dyDescent="0.25">
      <c r="A6" s="54"/>
      <c r="C6" s="32" t="s">
        <v>252</v>
      </c>
      <c r="D6" s="33" t="s">
        <v>499</v>
      </c>
      <c r="E6" s="98" t="s">
        <v>694</v>
      </c>
    </row>
    <row r="7" spans="1:5" s="14" customFormat="1" ht="15" customHeight="1" x14ac:dyDescent="0.25">
      <c r="A7" s="54"/>
      <c r="C7" s="32" t="s">
        <v>253</v>
      </c>
      <c r="D7" s="33" t="s">
        <v>500</v>
      </c>
      <c r="E7" s="98" t="s">
        <v>694</v>
      </c>
    </row>
    <row r="8" spans="1:5" s="60" customFormat="1" ht="15" customHeight="1" x14ac:dyDescent="0.25">
      <c r="C8" s="62" t="s">
        <v>512</v>
      </c>
      <c r="D8" s="63" t="s">
        <v>513</v>
      </c>
      <c r="E8" s="98" t="s">
        <v>695</v>
      </c>
    </row>
    <row r="9" spans="1:5" s="14" customFormat="1" ht="15" customHeight="1" x14ac:dyDescent="0.25">
      <c r="A9" s="54"/>
      <c r="C9" s="32" t="s">
        <v>254</v>
      </c>
      <c r="D9" s="33" t="s">
        <v>460</v>
      </c>
      <c r="E9" s="98" t="s">
        <v>694</v>
      </c>
    </row>
    <row r="10" spans="1:5" s="14" customFormat="1" x14ac:dyDescent="0.25">
      <c r="A10" s="54"/>
      <c r="C10" s="32" t="s">
        <v>461</v>
      </c>
      <c r="D10" s="33" t="s">
        <v>470</v>
      </c>
      <c r="E10" s="98" t="s">
        <v>469</v>
      </c>
    </row>
    <row r="11" spans="1:5" s="14" customFormat="1" x14ac:dyDescent="0.25">
      <c r="A11" s="54"/>
      <c r="C11" s="23"/>
      <c r="D11" s="25"/>
      <c r="E11" s="12"/>
    </row>
    <row r="12" spans="1:5" ht="15" customHeight="1" x14ac:dyDescent="0.25">
      <c r="C12" s="23"/>
      <c r="D12" s="25"/>
    </row>
    <row r="13" spans="1:5" ht="15" customHeight="1" x14ac:dyDescent="0.25">
      <c r="C13" s="26"/>
    </row>
    <row r="14" spans="1:5" ht="15" customHeight="1" x14ac:dyDescent="0.25">
      <c r="C14" s="26"/>
    </row>
    <row r="15" spans="1:5" ht="15" customHeight="1" x14ac:dyDescent="0.25">
      <c r="C15" s="27"/>
    </row>
    <row r="16" spans="1:5" ht="15" customHeight="1" x14ac:dyDescent="0.25">
      <c r="C16" s="27"/>
    </row>
    <row r="17" spans="1:5" ht="15" customHeight="1" x14ac:dyDescent="0.25">
      <c r="C17" s="27"/>
    </row>
    <row r="18" spans="1:5" ht="15" customHeight="1" x14ac:dyDescent="0.25">
      <c r="C18" s="26"/>
    </row>
    <row r="19" spans="1:5" ht="15" customHeight="1" x14ac:dyDescent="0.25">
      <c r="C19" s="26"/>
      <c r="D19" s="24"/>
    </row>
    <row r="20" spans="1:5" ht="15" customHeight="1" x14ac:dyDescent="0.25">
      <c r="C20" s="26"/>
      <c r="D20" s="24"/>
    </row>
    <row r="21" spans="1:5" ht="15" customHeight="1" x14ac:dyDescent="0.25">
      <c r="C21" s="26"/>
      <c r="D21" s="24"/>
    </row>
    <row r="22" spans="1:5" s="1" customFormat="1" ht="15" customHeight="1" x14ac:dyDescent="0.25">
      <c r="A22" s="54"/>
      <c r="B22" s="14"/>
      <c r="C22" s="26"/>
      <c r="D22" s="24"/>
      <c r="E22" s="12"/>
    </row>
    <row r="23" spans="1:5" ht="15" customHeight="1" x14ac:dyDescent="0.25">
      <c r="C23" s="26"/>
      <c r="D23" s="24"/>
    </row>
    <row r="24" spans="1:5" ht="15" customHeight="1" x14ac:dyDescent="0.25">
      <c r="C24" s="26"/>
      <c r="D24" s="24"/>
    </row>
    <row r="25" spans="1:5" x14ac:dyDescent="0.25">
      <c r="C25" s="28"/>
      <c r="D25" s="24"/>
    </row>
    <row r="26" spans="1:5" x14ac:dyDescent="0.25">
      <c r="C26" s="29"/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Button_RefreshFormulas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E290"/>
  <sheetViews>
    <sheetView workbookViewId="0"/>
  </sheetViews>
  <sheetFormatPr baseColWidth="10" defaultRowHeight="15" x14ac:dyDescent="0.25"/>
  <cols>
    <col min="1" max="1" width="11.42578125" style="14"/>
    <col min="2" max="2" width="12.7109375" style="12" customWidth="1"/>
    <col min="3" max="3" width="11.85546875" style="7" bestFit="1" customWidth="1"/>
    <col min="4" max="4" width="6.5703125" style="56" bestFit="1" customWidth="1"/>
    <col min="5" max="5" width="9.140625" bestFit="1" customWidth="1"/>
  </cols>
  <sheetData>
    <row r="1" spans="1:5" s="14" customFormat="1" ht="15" customHeight="1" x14ac:dyDescent="0.25">
      <c r="A1" s="14" t="s">
        <v>235</v>
      </c>
      <c r="B1" s="19" t="s">
        <v>508</v>
      </c>
      <c r="C1" s="7"/>
      <c r="D1" s="56"/>
    </row>
    <row r="2" spans="1:5" s="14" customFormat="1" x14ac:dyDescent="0.25">
      <c r="B2" s="12"/>
      <c r="C2" s="7"/>
      <c r="D2" s="56"/>
    </row>
    <row r="3" spans="1:5" x14ac:dyDescent="0.25">
      <c r="B3" s="42" t="s">
        <v>442</v>
      </c>
      <c r="C3" s="43" t="s">
        <v>257</v>
      </c>
      <c r="D3" s="57" t="s">
        <v>84</v>
      </c>
      <c r="E3" s="44" t="s">
        <v>504</v>
      </c>
    </row>
    <row r="4" spans="1:5" x14ac:dyDescent="0.25">
      <c r="B4" s="31" t="s">
        <v>258</v>
      </c>
      <c r="C4" s="34">
        <v>1</v>
      </c>
      <c r="D4" s="58" t="s">
        <v>4</v>
      </c>
      <c r="E4" s="1"/>
    </row>
    <row r="5" spans="1:5" s="1" customFormat="1" x14ac:dyDescent="0.25">
      <c r="A5" s="14"/>
      <c r="B5" s="31" t="s">
        <v>259</v>
      </c>
      <c r="C5" s="34">
        <v>1</v>
      </c>
      <c r="D5" s="59" t="s">
        <v>4</v>
      </c>
    </row>
    <row r="6" spans="1:5" x14ac:dyDescent="0.25">
      <c r="B6" s="31" t="s">
        <v>260</v>
      </c>
      <c r="C6" s="34">
        <v>1</v>
      </c>
      <c r="D6" s="59" t="s">
        <v>4</v>
      </c>
      <c r="E6" s="1"/>
    </row>
    <row r="7" spans="1:5" x14ac:dyDescent="0.25">
      <c r="B7" s="31" t="s">
        <v>261</v>
      </c>
      <c r="C7" s="34">
        <v>1</v>
      </c>
      <c r="D7" s="59" t="s">
        <v>4</v>
      </c>
      <c r="E7" s="1"/>
    </row>
    <row r="8" spans="1:5" x14ac:dyDescent="0.25">
      <c r="B8" s="31" t="s">
        <v>255</v>
      </c>
      <c r="C8" s="34">
        <v>1</v>
      </c>
      <c r="D8" s="59" t="s">
        <v>4</v>
      </c>
      <c r="E8" s="1"/>
    </row>
    <row r="9" spans="1:5" x14ac:dyDescent="0.25">
      <c r="B9" s="31" t="s">
        <v>262</v>
      </c>
      <c r="C9" s="34">
        <v>1</v>
      </c>
      <c r="D9" s="59" t="s">
        <v>4</v>
      </c>
      <c r="E9" s="1"/>
    </row>
    <row r="10" spans="1:5" x14ac:dyDescent="0.25">
      <c r="B10" s="31" t="s">
        <v>263</v>
      </c>
      <c r="C10" s="34">
        <v>1</v>
      </c>
      <c r="D10" s="59" t="s">
        <v>4</v>
      </c>
      <c r="E10" s="1"/>
    </row>
    <row r="11" spans="1:5" x14ac:dyDescent="0.25">
      <c r="B11" s="31" t="s">
        <v>264</v>
      </c>
      <c r="C11" s="34">
        <v>1</v>
      </c>
      <c r="D11" s="59" t="s">
        <v>4</v>
      </c>
      <c r="E11" s="1"/>
    </row>
    <row r="12" spans="1:5" x14ac:dyDescent="0.25">
      <c r="B12" s="31" t="s">
        <v>265</v>
      </c>
      <c r="C12" s="34">
        <v>1</v>
      </c>
      <c r="D12" s="59" t="s">
        <v>4</v>
      </c>
      <c r="E12" s="1"/>
    </row>
    <row r="13" spans="1:5" x14ac:dyDescent="0.25">
      <c r="B13" s="31" t="s">
        <v>266</v>
      </c>
      <c r="C13" s="34">
        <v>2</v>
      </c>
      <c r="D13" s="59" t="s">
        <v>4</v>
      </c>
      <c r="E13" s="1"/>
    </row>
    <row r="14" spans="1:5" s="1" customFormat="1" x14ac:dyDescent="0.25">
      <c r="A14" s="14"/>
      <c r="B14" s="31" t="s">
        <v>267</v>
      </c>
      <c r="C14" s="34">
        <v>2</v>
      </c>
      <c r="D14" s="59" t="s">
        <v>4</v>
      </c>
    </row>
    <row r="15" spans="1:5" x14ac:dyDescent="0.25">
      <c r="B15" s="31" t="s">
        <v>268</v>
      </c>
      <c r="C15" s="34">
        <v>2</v>
      </c>
      <c r="D15" s="59" t="s">
        <v>4</v>
      </c>
      <c r="E15" s="1"/>
    </row>
    <row r="16" spans="1:5" x14ac:dyDescent="0.25">
      <c r="B16" s="31" t="s">
        <v>269</v>
      </c>
      <c r="C16" s="34">
        <v>2</v>
      </c>
      <c r="D16" s="59" t="s">
        <v>4</v>
      </c>
      <c r="E16" s="1"/>
    </row>
    <row r="17" spans="2:5" x14ac:dyDescent="0.25">
      <c r="B17" s="31" t="s">
        <v>270</v>
      </c>
      <c r="C17" s="34">
        <v>2</v>
      </c>
      <c r="D17" s="59" t="s">
        <v>4</v>
      </c>
      <c r="E17" s="1"/>
    </row>
    <row r="18" spans="2:5" x14ac:dyDescent="0.25">
      <c r="B18" s="31" t="s">
        <v>271</v>
      </c>
      <c r="C18" s="34">
        <v>2</v>
      </c>
      <c r="D18" s="59" t="s">
        <v>4</v>
      </c>
      <c r="E18" s="1"/>
    </row>
    <row r="19" spans="2:5" x14ac:dyDescent="0.25">
      <c r="B19" s="31" t="s">
        <v>272</v>
      </c>
      <c r="C19" s="34">
        <v>2</v>
      </c>
      <c r="D19" s="59" t="s">
        <v>4</v>
      </c>
      <c r="E19" s="1"/>
    </row>
    <row r="20" spans="2:5" x14ac:dyDescent="0.25">
      <c r="B20" s="31" t="s">
        <v>273</v>
      </c>
      <c r="C20" s="34">
        <v>2</v>
      </c>
      <c r="D20" s="59" t="s">
        <v>4</v>
      </c>
      <c r="E20" s="1"/>
    </row>
    <row r="21" spans="2:5" x14ac:dyDescent="0.25">
      <c r="B21" s="31" t="s">
        <v>274</v>
      </c>
      <c r="C21" s="34">
        <v>2</v>
      </c>
      <c r="D21" s="59" t="s">
        <v>4</v>
      </c>
      <c r="E21" s="1"/>
    </row>
    <row r="22" spans="2:5" x14ac:dyDescent="0.25">
      <c r="B22" s="31" t="s">
        <v>275</v>
      </c>
      <c r="C22" s="34">
        <v>6</v>
      </c>
      <c r="D22" s="59" t="s">
        <v>4</v>
      </c>
      <c r="E22" s="1"/>
    </row>
    <row r="23" spans="2:5" x14ac:dyDescent="0.25">
      <c r="B23" s="31" t="s">
        <v>276</v>
      </c>
      <c r="C23" s="34">
        <v>6</v>
      </c>
      <c r="D23" s="59" t="s">
        <v>4</v>
      </c>
      <c r="E23" s="1"/>
    </row>
    <row r="24" spans="2:5" x14ac:dyDescent="0.25">
      <c r="B24" s="31" t="s">
        <v>277</v>
      </c>
      <c r="C24" s="34">
        <v>6</v>
      </c>
      <c r="D24" s="59" t="s">
        <v>4</v>
      </c>
      <c r="E24" s="1"/>
    </row>
    <row r="25" spans="2:5" x14ac:dyDescent="0.25">
      <c r="B25" s="31" t="s">
        <v>278</v>
      </c>
      <c r="C25" s="34">
        <v>6</v>
      </c>
      <c r="D25" s="59" t="s">
        <v>4</v>
      </c>
      <c r="E25" s="1"/>
    </row>
    <row r="26" spans="2:5" x14ac:dyDescent="0.25">
      <c r="B26" s="31" t="s">
        <v>279</v>
      </c>
      <c r="C26" s="34">
        <v>6</v>
      </c>
      <c r="D26" s="59" t="s">
        <v>4</v>
      </c>
      <c r="E26" s="1"/>
    </row>
    <row r="27" spans="2:5" x14ac:dyDescent="0.25">
      <c r="B27" s="31" t="s">
        <v>280</v>
      </c>
      <c r="C27" s="34">
        <v>6</v>
      </c>
      <c r="D27" s="59" t="s">
        <v>4</v>
      </c>
      <c r="E27" s="1"/>
    </row>
    <row r="28" spans="2:5" x14ac:dyDescent="0.25">
      <c r="B28" s="31" t="s">
        <v>281</v>
      </c>
      <c r="C28" s="34">
        <v>6</v>
      </c>
      <c r="D28" s="59" t="s">
        <v>4</v>
      </c>
      <c r="E28" s="1"/>
    </row>
    <row r="29" spans="2:5" x14ac:dyDescent="0.25">
      <c r="B29" s="31" t="s">
        <v>282</v>
      </c>
      <c r="C29" s="34">
        <v>6</v>
      </c>
      <c r="D29" s="59" t="s">
        <v>4</v>
      </c>
      <c r="E29" s="1"/>
    </row>
    <row r="30" spans="2:5" x14ac:dyDescent="0.25">
      <c r="B30" s="31" t="s">
        <v>283</v>
      </c>
      <c r="C30" s="34">
        <v>1</v>
      </c>
      <c r="D30" s="59" t="s">
        <v>5</v>
      </c>
      <c r="E30" s="1" t="s">
        <v>505</v>
      </c>
    </row>
    <row r="31" spans="2:5" x14ac:dyDescent="0.25">
      <c r="B31" s="31" t="s">
        <v>284</v>
      </c>
      <c r="C31" s="34">
        <v>1</v>
      </c>
      <c r="D31" s="59" t="s">
        <v>5</v>
      </c>
      <c r="E31" s="14" t="s">
        <v>505</v>
      </c>
    </row>
    <row r="32" spans="2:5" x14ac:dyDescent="0.25">
      <c r="B32" s="31" t="s">
        <v>285</v>
      </c>
      <c r="C32" s="34">
        <v>1</v>
      </c>
      <c r="D32" s="59" t="s">
        <v>5</v>
      </c>
      <c r="E32" s="14" t="s">
        <v>505</v>
      </c>
    </row>
    <row r="33" spans="2:5" x14ac:dyDescent="0.25">
      <c r="B33" s="31" t="s">
        <v>286</v>
      </c>
      <c r="C33" s="34">
        <v>1</v>
      </c>
      <c r="D33" s="59" t="s">
        <v>5</v>
      </c>
      <c r="E33" s="14" t="s">
        <v>505</v>
      </c>
    </row>
    <row r="34" spans="2:5" x14ac:dyDescent="0.25">
      <c r="B34" s="31" t="s">
        <v>287</v>
      </c>
      <c r="C34" s="34">
        <v>1</v>
      </c>
      <c r="D34" s="59" t="s">
        <v>5</v>
      </c>
      <c r="E34" s="14" t="s">
        <v>505</v>
      </c>
    </row>
    <row r="35" spans="2:5" x14ac:dyDescent="0.25">
      <c r="B35" s="31" t="s">
        <v>288</v>
      </c>
      <c r="C35" s="34">
        <v>1</v>
      </c>
      <c r="D35" s="59" t="s">
        <v>5</v>
      </c>
      <c r="E35" s="14" t="s">
        <v>505</v>
      </c>
    </row>
    <row r="36" spans="2:5" x14ac:dyDescent="0.25">
      <c r="B36" s="31" t="s">
        <v>289</v>
      </c>
      <c r="C36" s="34">
        <v>1</v>
      </c>
      <c r="D36" s="59" t="s">
        <v>5</v>
      </c>
      <c r="E36" s="14" t="s">
        <v>505</v>
      </c>
    </row>
    <row r="37" spans="2:5" x14ac:dyDescent="0.25">
      <c r="B37" s="31" t="s">
        <v>290</v>
      </c>
      <c r="C37" s="34">
        <v>1</v>
      </c>
      <c r="D37" s="59" t="s">
        <v>5</v>
      </c>
      <c r="E37" s="14" t="s">
        <v>505</v>
      </c>
    </row>
    <row r="38" spans="2:5" x14ac:dyDescent="0.25">
      <c r="B38" s="31" t="s">
        <v>291</v>
      </c>
      <c r="C38" s="34">
        <v>1</v>
      </c>
      <c r="D38" s="59" t="s">
        <v>5</v>
      </c>
      <c r="E38" s="14" t="s">
        <v>505</v>
      </c>
    </row>
    <row r="39" spans="2:5" x14ac:dyDescent="0.25">
      <c r="B39" s="31" t="s">
        <v>292</v>
      </c>
      <c r="C39" s="34">
        <v>2</v>
      </c>
      <c r="D39" s="59" t="s">
        <v>5</v>
      </c>
      <c r="E39" s="14" t="s">
        <v>505</v>
      </c>
    </row>
    <row r="40" spans="2:5" x14ac:dyDescent="0.25">
      <c r="B40" s="31" t="s">
        <v>293</v>
      </c>
      <c r="C40" s="34">
        <v>2</v>
      </c>
      <c r="D40" s="59" t="s">
        <v>5</v>
      </c>
      <c r="E40" s="14" t="s">
        <v>505</v>
      </c>
    </row>
    <row r="41" spans="2:5" x14ac:dyDescent="0.25">
      <c r="B41" s="31" t="s">
        <v>294</v>
      </c>
      <c r="C41" s="34">
        <v>2</v>
      </c>
      <c r="D41" s="59" t="s">
        <v>5</v>
      </c>
      <c r="E41" s="14" t="s">
        <v>505</v>
      </c>
    </row>
    <row r="42" spans="2:5" x14ac:dyDescent="0.25">
      <c r="B42" s="31" t="s">
        <v>295</v>
      </c>
      <c r="C42" s="34">
        <v>2</v>
      </c>
      <c r="D42" s="59" t="s">
        <v>5</v>
      </c>
      <c r="E42" s="14" t="s">
        <v>505</v>
      </c>
    </row>
    <row r="43" spans="2:5" x14ac:dyDescent="0.25">
      <c r="B43" s="31" t="s">
        <v>296</v>
      </c>
      <c r="C43" s="34">
        <v>2</v>
      </c>
      <c r="D43" s="59" t="s">
        <v>5</v>
      </c>
      <c r="E43" s="14" t="s">
        <v>505</v>
      </c>
    </row>
    <row r="44" spans="2:5" x14ac:dyDescent="0.25">
      <c r="B44" s="31" t="s">
        <v>297</v>
      </c>
      <c r="C44" s="34">
        <v>2</v>
      </c>
      <c r="D44" s="59" t="s">
        <v>5</v>
      </c>
      <c r="E44" s="14" t="s">
        <v>505</v>
      </c>
    </row>
    <row r="45" spans="2:5" x14ac:dyDescent="0.25">
      <c r="B45" s="31" t="s">
        <v>298</v>
      </c>
      <c r="C45" s="34">
        <v>2</v>
      </c>
      <c r="D45" s="59" t="s">
        <v>5</v>
      </c>
      <c r="E45" s="14" t="s">
        <v>505</v>
      </c>
    </row>
    <row r="46" spans="2:5" x14ac:dyDescent="0.25">
      <c r="B46" s="31" t="s">
        <v>299</v>
      </c>
      <c r="C46" s="34">
        <v>2</v>
      </c>
      <c r="D46" s="59" t="s">
        <v>5</v>
      </c>
      <c r="E46" s="14" t="s">
        <v>505</v>
      </c>
    </row>
    <row r="47" spans="2:5" x14ac:dyDescent="0.25">
      <c r="B47" s="31" t="s">
        <v>300</v>
      </c>
      <c r="C47" s="34">
        <v>2</v>
      </c>
      <c r="D47" s="59" t="s">
        <v>5</v>
      </c>
      <c r="E47" s="1" t="s">
        <v>505</v>
      </c>
    </row>
    <row r="48" spans="2:5" x14ac:dyDescent="0.25">
      <c r="B48" s="31" t="s">
        <v>301</v>
      </c>
      <c r="C48" s="34">
        <v>0</v>
      </c>
      <c r="D48" s="59" t="s">
        <v>5</v>
      </c>
      <c r="E48" s="1" t="s">
        <v>506</v>
      </c>
    </row>
    <row r="49" spans="2:5" x14ac:dyDescent="0.25">
      <c r="B49" s="31" t="s">
        <v>302</v>
      </c>
      <c r="C49" s="34">
        <v>0</v>
      </c>
      <c r="D49" s="59" t="s">
        <v>5</v>
      </c>
      <c r="E49" s="1" t="s">
        <v>505</v>
      </c>
    </row>
    <row r="50" spans="2:5" x14ac:dyDescent="0.25">
      <c r="B50" s="31" t="s">
        <v>303</v>
      </c>
      <c r="C50" s="34">
        <v>1</v>
      </c>
      <c r="D50" s="59" t="s">
        <v>5</v>
      </c>
      <c r="E50" s="1" t="s">
        <v>507</v>
      </c>
    </row>
    <row r="51" spans="2:5" x14ac:dyDescent="0.25">
      <c r="B51" s="31" t="s">
        <v>304</v>
      </c>
      <c r="C51" s="34">
        <v>1</v>
      </c>
      <c r="D51" s="59" t="s">
        <v>5</v>
      </c>
      <c r="E51" s="1" t="s">
        <v>507</v>
      </c>
    </row>
    <row r="52" spans="2:5" x14ac:dyDescent="0.25">
      <c r="B52" s="31" t="s">
        <v>305</v>
      </c>
      <c r="C52" s="34">
        <v>2</v>
      </c>
      <c r="D52" s="59" t="s">
        <v>3</v>
      </c>
      <c r="E52" s="1"/>
    </row>
    <row r="53" spans="2:5" x14ac:dyDescent="0.25">
      <c r="B53" s="31" t="s">
        <v>306</v>
      </c>
      <c r="C53" s="34">
        <v>2</v>
      </c>
      <c r="D53" s="59" t="s">
        <v>3</v>
      </c>
      <c r="E53" s="1"/>
    </row>
    <row r="54" spans="2:5" x14ac:dyDescent="0.25">
      <c r="B54" s="31" t="s">
        <v>307</v>
      </c>
      <c r="C54" s="34">
        <v>2</v>
      </c>
      <c r="D54" s="59" t="s">
        <v>3</v>
      </c>
      <c r="E54" s="1"/>
    </row>
    <row r="55" spans="2:5" x14ac:dyDescent="0.25">
      <c r="B55" s="31" t="s">
        <v>308</v>
      </c>
      <c r="C55" s="34">
        <v>2</v>
      </c>
      <c r="D55" s="59" t="s">
        <v>3</v>
      </c>
      <c r="E55" s="1"/>
    </row>
    <row r="56" spans="2:5" x14ac:dyDescent="0.25">
      <c r="B56" s="31" t="s">
        <v>309</v>
      </c>
      <c r="C56" s="34">
        <v>2</v>
      </c>
      <c r="D56" s="59" t="s">
        <v>3</v>
      </c>
      <c r="E56" s="1"/>
    </row>
    <row r="57" spans="2:5" x14ac:dyDescent="0.25">
      <c r="B57" s="31" t="s">
        <v>310</v>
      </c>
      <c r="C57" s="34">
        <v>2</v>
      </c>
      <c r="D57" s="59" t="s">
        <v>3</v>
      </c>
      <c r="E57" s="1"/>
    </row>
    <row r="58" spans="2:5" x14ac:dyDescent="0.25">
      <c r="B58" s="31" t="s">
        <v>311</v>
      </c>
      <c r="C58" s="34">
        <v>2</v>
      </c>
      <c r="D58" s="59" t="s">
        <v>3</v>
      </c>
      <c r="E58" s="1"/>
    </row>
    <row r="59" spans="2:5" x14ac:dyDescent="0.25">
      <c r="B59" s="31" t="s">
        <v>312</v>
      </c>
      <c r="C59" s="34">
        <v>2</v>
      </c>
      <c r="D59" s="59" t="s">
        <v>3</v>
      </c>
      <c r="E59" s="1"/>
    </row>
    <row r="60" spans="2:5" x14ac:dyDescent="0.25">
      <c r="B60" s="31" t="s">
        <v>313</v>
      </c>
      <c r="C60" s="34">
        <v>2</v>
      </c>
      <c r="D60" s="59" t="s">
        <v>3</v>
      </c>
      <c r="E60" s="1"/>
    </row>
    <row r="61" spans="2:5" x14ac:dyDescent="0.25">
      <c r="B61" s="31" t="s">
        <v>314</v>
      </c>
      <c r="C61" s="34">
        <v>6</v>
      </c>
      <c r="D61" s="59" t="s">
        <v>3</v>
      </c>
      <c r="E61" s="1"/>
    </row>
    <row r="62" spans="2:5" x14ac:dyDescent="0.25">
      <c r="B62" s="31" t="s">
        <v>315</v>
      </c>
      <c r="C62" s="34">
        <v>6</v>
      </c>
      <c r="D62" s="59" t="s">
        <v>3</v>
      </c>
      <c r="E62" s="1"/>
    </row>
    <row r="63" spans="2:5" x14ac:dyDescent="0.25">
      <c r="B63" s="31" t="s">
        <v>316</v>
      </c>
      <c r="C63" s="34">
        <v>6</v>
      </c>
      <c r="D63" s="59" t="s">
        <v>3</v>
      </c>
      <c r="E63" s="1"/>
    </row>
    <row r="64" spans="2:5" x14ac:dyDescent="0.25">
      <c r="B64" s="31" t="s">
        <v>317</v>
      </c>
      <c r="C64" s="34">
        <v>6</v>
      </c>
      <c r="D64" s="59" t="s">
        <v>3</v>
      </c>
      <c r="E64" s="1"/>
    </row>
    <row r="65" spans="2:5" x14ac:dyDescent="0.25">
      <c r="B65" s="31" t="s">
        <v>318</v>
      </c>
      <c r="C65" s="34">
        <v>6</v>
      </c>
      <c r="D65" s="59" t="s">
        <v>3</v>
      </c>
      <c r="E65" s="1"/>
    </row>
    <row r="66" spans="2:5" x14ac:dyDescent="0.25">
      <c r="B66" s="31" t="s">
        <v>319</v>
      </c>
      <c r="C66" s="34">
        <v>6</v>
      </c>
      <c r="D66" s="59" t="s">
        <v>3</v>
      </c>
      <c r="E66" s="1"/>
    </row>
    <row r="67" spans="2:5" x14ac:dyDescent="0.25">
      <c r="B67" s="31" t="s">
        <v>320</v>
      </c>
      <c r="C67" s="34">
        <v>6</v>
      </c>
      <c r="D67" s="59" t="s">
        <v>3</v>
      </c>
      <c r="E67" s="1"/>
    </row>
    <row r="68" spans="2:5" x14ac:dyDescent="0.25">
      <c r="B68" s="31" t="s">
        <v>321</v>
      </c>
      <c r="C68" s="34">
        <v>6</v>
      </c>
      <c r="D68" s="59" t="s">
        <v>3</v>
      </c>
      <c r="E68" s="1"/>
    </row>
    <row r="69" spans="2:5" x14ac:dyDescent="0.25">
      <c r="B69" s="31" t="s">
        <v>322</v>
      </c>
      <c r="C69" s="34">
        <v>2</v>
      </c>
      <c r="D69" s="59" t="s">
        <v>5</v>
      </c>
      <c r="E69" s="1" t="s">
        <v>507</v>
      </c>
    </row>
    <row r="70" spans="2:5" x14ac:dyDescent="0.25">
      <c r="B70" s="31" t="s">
        <v>323</v>
      </c>
      <c r="C70" s="34">
        <v>2</v>
      </c>
      <c r="D70" s="59" t="s">
        <v>5</v>
      </c>
      <c r="E70" s="1" t="s">
        <v>507</v>
      </c>
    </row>
    <row r="71" spans="2:5" x14ac:dyDescent="0.25">
      <c r="B71" s="17"/>
      <c r="E71" s="1"/>
    </row>
    <row r="72" spans="2:5" x14ac:dyDescent="0.25">
      <c r="B72" s="17"/>
      <c r="E72" s="1"/>
    </row>
    <row r="73" spans="2:5" x14ac:dyDescent="0.25">
      <c r="B73" s="17"/>
      <c r="E73" s="1"/>
    </row>
    <row r="74" spans="2:5" x14ac:dyDescent="0.25">
      <c r="B74" s="17"/>
      <c r="E74" s="1"/>
    </row>
    <row r="75" spans="2:5" x14ac:dyDescent="0.25">
      <c r="B75" s="21"/>
      <c r="E75" s="1"/>
    </row>
    <row r="76" spans="2:5" x14ac:dyDescent="0.25">
      <c r="B76" s="17"/>
      <c r="E76" s="1"/>
    </row>
    <row r="77" spans="2:5" x14ac:dyDescent="0.25">
      <c r="B77" s="17"/>
      <c r="E77" s="1"/>
    </row>
    <row r="78" spans="2:5" x14ac:dyDescent="0.25">
      <c r="B78" s="17"/>
      <c r="E78" s="1"/>
    </row>
    <row r="79" spans="2:5" x14ac:dyDescent="0.25">
      <c r="B79" s="17"/>
      <c r="E79" s="1"/>
    </row>
    <row r="80" spans="2:5" x14ac:dyDescent="0.25">
      <c r="B80" s="17"/>
      <c r="E80" s="1"/>
    </row>
    <row r="81" spans="1:5" x14ac:dyDescent="0.25">
      <c r="B81" s="17"/>
      <c r="E81" s="1"/>
    </row>
    <row r="82" spans="1:5" x14ac:dyDescent="0.25">
      <c r="B82" s="17"/>
      <c r="E82" s="1"/>
    </row>
    <row r="83" spans="1:5" x14ac:dyDescent="0.25">
      <c r="B83" s="17"/>
      <c r="E83" s="1"/>
    </row>
    <row r="84" spans="1:5" x14ac:dyDescent="0.25">
      <c r="B84" s="17"/>
      <c r="E84" s="1"/>
    </row>
    <row r="85" spans="1:5" x14ac:dyDescent="0.25">
      <c r="B85" s="17"/>
      <c r="E85" s="1"/>
    </row>
    <row r="86" spans="1:5" x14ac:dyDescent="0.25">
      <c r="B86" s="17"/>
      <c r="E86" s="1"/>
    </row>
    <row r="87" spans="1:5" x14ac:dyDescent="0.25">
      <c r="B87" s="17"/>
      <c r="E87" s="1"/>
    </row>
    <row r="88" spans="1:5" x14ac:dyDescent="0.25">
      <c r="B88" s="17"/>
      <c r="E88" s="1"/>
    </row>
    <row r="89" spans="1:5" x14ac:dyDescent="0.25">
      <c r="B89" s="17"/>
      <c r="E89" s="1"/>
    </row>
    <row r="90" spans="1:5" x14ac:dyDescent="0.25">
      <c r="B90" s="17"/>
      <c r="E90" s="1"/>
    </row>
    <row r="91" spans="1:5" s="1" customFormat="1" x14ac:dyDescent="0.25">
      <c r="A91" s="14"/>
      <c r="B91" s="17"/>
      <c r="C91" s="7"/>
      <c r="D91" s="56"/>
    </row>
    <row r="92" spans="1:5" x14ac:dyDescent="0.25">
      <c r="B92" s="17"/>
      <c r="E92" s="1"/>
    </row>
    <row r="93" spans="1:5" x14ac:dyDescent="0.25">
      <c r="B93" s="17"/>
      <c r="E93" s="1"/>
    </row>
    <row r="94" spans="1:5" x14ac:dyDescent="0.25">
      <c r="B94" s="17"/>
      <c r="E94" s="1"/>
    </row>
    <row r="95" spans="1:5" x14ac:dyDescent="0.25">
      <c r="B95" s="17"/>
      <c r="E95" s="1"/>
    </row>
    <row r="96" spans="1:5" x14ac:dyDescent="0.25">
      <c r="B96" s="17"/>
      <c r="E96" s="1"/>
    </row>
    <row r="97" spans="1:5" x14ac:dyDescent="0.25">
      <c r="B97" s="17"/>
      <c r="E97" s="1"/>
    </row>
    <row r="98" spans="1:5" x14ac:dyDescent="0.25">
      <c r="B98" s="17"/>
      <c r="E98" s="1"/>
    </row>
    <row r="99" spans="1:5" x14ac:dyDescent="0.25">
      <c r="B99" s="17"/>
      <c r="E99" s="1"/>
    </row>
    <row r="100" spans="1:5" x14ac:dyDescent="0.25">
      <c r="B100" s="17"/>
      <c r="E100" s="1"/>
    </row>
    <row r="101" spans="1:5" x14ac:dyDescent="0.25">
      <c r="B101" s="17"/>
      <c r="E101" s="1"/>
    </row>
    <row r="102" spans="1:5" x14ac:dyDescent="0.25">
      <c r="B102" s="17"/>
      <c r="E102" s="1"/>
    </row>
    <row r="103" spans="1:5" x14ac:dyDescent="0.25">
      <c r="B103" s="17"/>
      <c r="E103" s="1"/>
    </row>
    <row r="104" spans="1:5" x14ac:dyDescent="0.25">
      <c r="B104" s="17"/>
      <c r="E104" s="1"/>
    </row>
    <row r="105" spans="1:5" x14ac:dyDescent="0.25">
      <c r="B105" s="17"/>
      <c r="E105" s="1"/>
    </row>
    <row r="106" spans="1:5" x14ac:dyDescent="0.25">
      <c r="B106" s="17"/>
      <c r="E106" s="1"/>
    </row>
    <row r="107" spans="1:5" x14ac:dyDescent="0.25">
      <c r="B107" s="17"/>
      <c r="E107" s="1"/>
    </row>
    <row r="108" spans="1:5" x14ac:dyDescent="0.25">
      <c r="B108" s="17"/>
      <c r="E108" s="1"/>
    </row>
    <row r="109" spans="1:5" x14ac:dyDescent="0.25">
      <c r="B109" s="17"/>
      <c r="E109" s="1"/>
    </row>
    <row r="110" spans="1:5" x14ac:dyDescent="0.25">
      <c r="B110" s="17"/>
      <c r="E110" s="1"/>
    </row>
    <row r="111" spans="1:5" x14ac:dyDescent="0.25">
      <c r="B111" s="17"/>
      <c r="E111" s="1"/>
    </row>
    <row r="112" spans="1:5" s="1" customFormat="1" x14ac:dyDescent="0.25">
      <c r="A112" s="14"/>
      <c r="B112" s="17"/>
      <c r="C112" s="7"/>
      <c r="D112" s="56"/>
    </row>
    <row r="113" spans="1:5" s="1" customFormat="1" x14ac:dyDescent="0.25">
      <c r="A113" s="14"/>
      <c r="B113" s="17"/>
      <c r="C113" s="7"/>
      <c r="D113" s="56"/>
    </row>
    <row r="114" spans="1:5" s="1" customFormat="1" x14ac:dyDescent="0.25">
      <c r="A114" s="14"/>
      <c r="B114" s="17"/>
      <c r="C114" s="7"/>
      <c r="D114" s="56"/>
    </row>
    <row r="115" spans="1:5" s="1" customFormat="1" x14ac:dyDescent="0.25">
      <c r="A115" s="14"/>
      <c r="B115" s="17"/>
      <c r="C115" s="7"/>
      <c r="D115" s="56"/>
      <c r="E115" s="14"/>
    </row>
    <row r="116" spans="1:5" x14ac:dyDescent="0.25">
      <c r="B116" s="17"/>
      <c r="E116" s="14"/>
    </row>
    <row r="117" spans="1:5" x14ac:dyDescent="0.25">
      <c r="B117" s="17"/>
      <c r="E117" s="14"/>
    </row>
    <row r="118" spans="1:5" x14ac:dyDescent="0.25">
      <c r="B118" s="17"/>
      <c r="E118" s="14"/>
    </row>
    <row r="119" spans="1:5" x14ac:dyDescent="0.25">
      <c r="B119" s="17"/>
      <c r="E119" s="14"/>
    </row>
    <row r="120" spans="1:5" x14ac:dyDescent="0.25">
      <c r="B120" s="17"/>
      <c r="E120" s="14"/>
    </row>
    <row r="121" spans="1:5" x14ac:dyDescent="0.25">
      <c r="B121" s="17"/>
      <c r="E121" s="14"/>
    </row>
    <row r="122" spans="1:5" x14ac:dyDescent="0.25">
      <c r="B122" s="17"/>
      <c r="E122" s="14"/>
    </row>
    <row r="123" spans="1:5" x14ac:dyDescent="0.25">
      <c r="B123" s="17"/>
      <c r="E123" s="14"/>
    </row>
    <row r="124" spans="1:5" x14ac:dyDescent="0.25">
      <c r="B124" s="17"/>
      <c r="E124" s="14"/>
    </row>
    <row r="125" spans="1:5" x14ac:dyDescent="0.25">
      <c r="B125" s="17"/>
      <c r="E125" s="14"/>
    </row>
    <row r="126" spans="1:5" x14ac:dyDescent="0.25">
      <c r="B126" s="17"/>
      <c r="E126" s="14"/>
    </row>
    <row r="127" spans="1:5" x14ac:dyDescent="0.25">
      <c r="B127" s="17"/>
      <c r="E127" s="14"/>
    </row>
    <row r="128" spans="1:5" x14ac:dyDescent="0.25">
      <c r="B128" s="17"/>
      <c r="E128" s="14"/>
    </row>
    <row r="129" spans="2:5" x14ac:dyDescent="0.25">
      <c r="B129" s="17"/>
      <c r="E129" s="14"/>
    </row>
    <row r="130" spans="2:5" x14ac:dyDescent="0.25">
      <c r="B130" s="17"/>
      <c r="E130" s="14"/>
    </row>
    <row r="131" spans="2:5" x14ac:dyDescent="0.25">
      <c r="B131" s="17"/>
      <c r="E131" s="14"/>
    </row>
    <row r="132" spans="2:5" x14ac:dyDescent="0.25">
      <c r="B132" s="17"/>
      <c r="E132" s="14"/>
    </row>
    <row r="133" spans="2:5" x14ac:dyDescent="0.25">
      <c r="B133" s="17"/>
      <c r="E133" s="1"/>
    </row>
    <row r="134" spans="2:5" x14ac:dyDescent="0.25">
      <c r="B134" s="17"/>
      <c r="E134" s="1"/>
    </row>
    <row r="135" spans="2:5" x14ac:dyDescent="0.25">
      <c r="B135" s="17"/>
      <c r="E135" s="1"/>
    </row>
    <row r="136" spans="2:5" x14ac:dyDescent="0.25">
      <c r="B136" s="17"/>
      <c r="E136" s="1"/>
    </row>
    <row r="137" spans="2:5" x14ac:dyDescent="0.25">
      <c r="B137" s="17"/>
      <c r="E137" s="1"/>
    </row>
    <row r="138" spans="2:5" x14ac:dyDescent="0.25">
      <c r="B138" s="17"/>
      <c r="E138" s="1"/>
    </row>
    <row r="139" spans="2:5" x14ac:dyDescent="0.25">
      <c r="B139" s="18"/>
      <c r="E139" s="1"/>
    </row>
    <row r="140" spans="2:5" x14ac:dyDescent="0.25">
      <c r="B140" s="17"/>
      <c r="E140" s="1"/>
    </row>
    <row r="141" spans="2:5" x14ac:dyDescent="0.25">
      <c r="B141" s="17"/>
      <c r="E141" s="1"/>
    </row>
    <row r="142" spans="2:5" x14ac:dyDescent="0.25">
      <c r="B142" s="17"/>
      <c r="E142" s="1"/>
    </row>
    <row r="143" spans="2:5" x14ac:dyDescent="0.25">
      <c r="B143" s="17"/>
      <c r="E143" s="1"/>
    </row>
    <row r="144" spans="2:5" x14ac:dyDescent="0.25">
      <c r="B144" s="17"/>
      <c r="E144" s="1"/>
    </row>
    <row r="145" spans="2:5" x14ac:dyDescent="0.25">
      <c r="B145" s="17"/>
      <c r="E145" s="1"/>
    </row>
    <row r="146" spans="2:5" x14ac:dyDescent="0.25">
      <c r="B146" s="17"/>
      <c r="E146" s="1"/>
    </row>
    <row r="147" spans="2:5" x14ac:dyDescent="0.25">
      <c r="B147" s="17"/>
      <c r="E147" s="1"/>
    </row>
    <row r="148" spans="2:5" x14ac:dyDescent="0.25">
      <c r="B148" s="17"/>
      <c r="E148" s="1"/>
    </row>
    <row r="149" spans="2:5" x14ac:dyDescent="0.25">
      <c r="B149" s="17"/>
      <c r="E149" s="1"/>
    </row>
    <row r="150" spans="2:5" x14ac:dyDescent="0.25">
      <c r="B150" s="17"/>
      <c r="E150" s="1"/>
    </row>
    <row r="151" spans="2:5" x14ac:dyDescent="0.25">
      <c r="B151" s="17"/>
      <c r="E151" s="1"/>
    </row>
    <row r="152" spans="2:5" x14ac:dyDescent="0.25">
      <c r="B152" s="17"/>
      <c r="E152" s="1"/>
    </row>
    <row r="153" spans="2:5" x14ac:dyDescent="0.25">
      <c r="B153" s="17"/>
      <c r="E153" s="1"/>
    </row>
    <row r="154" spans="2:5" x14ac:dyDescent="0.25">
      <c r="B154" s="17"/>
      <c r="E154" s="1"/>
    </row>
    <row r="155" spans="2:5" x14ac:dyDescent="0.25">
      <c r="B155" s="17"/>
      <c r="E155" s="1"/>
    </row>
    <row r="156" spans="2:5" x14ac:dyDescent="0.25">
      <c r="B156" s="17"/>
      <c r="E156" s="1"/>
    </row>
    <row r="157" spans="2:5" x14ac:dyDescent="0.25">
      <c r="B157" s="17"/>
      <c r="E157" s="1"/>
    </row>
    <row r="158" spans="2:5" x14ac:dyDescent="0.25">
      <c r="B158" s="17"/>
      <c r="E158" s="1"/>
    </row>
    <row r="159" spans="2:5" x14ac:dyDescent="0.25">
      <c r="B159" s="17"/>
      <c r="E159" s="1"/>
    </row>
    <row r="160" spans="2:5" x14ac:dyDescent="0.25">
      <c r="B160" s="17"/>
      <c r="E160" s="1"/>
    </row>
    <row r="161" spans="2:5" x14ac:dyDescent="0.25">
      <c r="B161" s="17"/>
      <c r="E161" s="1"/>
    </row>
    <row r="162" spans="2:5" x14ac:dyDescent="0.25">
      <c r="B162" s="17"/>
      <c r="E162" s="1"/>
    </row>
    <row r="163" spans="2:5" x14ac:dyDescent="0.25">
      <c r="B163" s="17"/>
      <c r="E163" s="1"/>
    </row>
    <row r="164" spans="2:5" x14ac:dyDescent="0.25">
      <c r="B164" s="17"/>
      <c r="E164" s="1"/>
    </row>
    <row r="165" spans="2:5" x14ac:dyDescent="0.25">
      <c r="B165" s="17"/>
      <c r="E165" s="1"/>
    </row>
    <row r="166" spans="2:5" x14ac:dyDescent="0.25">
      <c r="B166" s="17"/>
      <c r="E166" s="1"/>
    </row>
    <row r="167" spans="2:5" x14ac:dyDescent="0.25">
      <c r="B167" s="17"/>
      <c r="E167" s="1"/>
    </row>
    <row r="168" spans="2:5" x14ac:dyDescent="0.25">
      <c r="B168" s="17"/>
      <c r="E168" s="1"/>
    </row>
    <row r="169" spans="2:5" x14ac:dyDescent="0.25">
      <c r="B169" s="17"/>
      <c r="E169" s="1"/>
    </row>
    <row r="170" spans="2:5" x14ac:dyDescent="0.25">
      <c r="B170" s="17"/>
      <c r="E170" s="1"/>
    </row>
    <row r="171" spans="2:5" x14ac:dyDescent="0.25">
      <c r="B171" s="17"/>
      <c r="E171" s="1"/>
    </row>
    <row r="172" spans="2:5" x14ac:dyDescent="0.25">
      <c r="B172" s="17"/>
      <c r="E172" s="1"/>
    </row>
    <row r="173" spans="2:5" x14ac:dyDescent="0.25">
      <c r="B173" s="17"/>
      <c r="E173" s="1"/>
    </row>
    <row r="174" spans="2:5" x14ac:dyDescent="0.25">
      <c r="B174" s="17"/>
      <c r="E174" s="1"/>
    </row>
    <row r="175" spans="2:5" x14ac:dyDescent="0.25">
      <c r="B175" s="17"/>
      <c r="E175" s="1"/>
    </row>
    <row r="176" spans="2:5" x14ac:dyDescent="0.25">
      <c r="B176" s="17"/>
      <c r="E176" s="1"/>
    </row>
    <row r="177" spans="2:5" x14ac:dyDescent="0.25">
      <c r="B177" s="17"/>
      <c r="E177" s="1"/>
    </row>
    <row r="178" spans="2:5" x14ac:dyDescent="0.25">
      <c r="B178" s="17"/>
      <c r="E178" s="1"/>
    </row>
    <row r="179" spans="2:5" x14ac:dyDescent="0.25">
      <c r="B179" s="17"/>
      <c r="E179" s="1"/>
    </row>
    <row r="180" spans="2:5" x14ac:dyDescent="0.25">
      <c r="B180" s="17"/>
      <c r="E180" s="1"/>
    </row>
    <row r="181" spans="2:5" x14ac:dyDescent="0.25">
      <c r="B181" s="17"/>
      <c r="E181" s="1"/>
    </row>
    <row r="182" spans="2:5" x14ac:dyDescent="0.25">
      <c r="B182" s="17"/>
      <c r="E182" s="1"/>
    </row>
    <row r="183" spans="2:5" x14ac:dyDescent="0.25">
      <c r="B183" s="17"/>
      <c r="E183" s="1"/>
    </row>
    <row r="184" spans="2:5" x14ac:dyDescent="0.25">
      <c r="B184" s="17"/>
      <c r="E184" s="1"/>
    </row>
    <row r="185" spans="2:5" x14ac:dyDescent="0.25">
      <c r="B185" s="17"/>
      <c r="E185" s="1"/>
    </row>
    <row r="186" spans="2:5" x14ac:dyDescent="0.25">
      <c r="B186" s="17"/>
      <c r="E186" s="1"/>
    </row>
    <row r="187" spans="2:5" x14ac:dyDescent="0.25">
      <c r="B187" s="17"/>
      <c r="E187" s="1"/>
    </row>
    <row r="188" spans="2:5" x14ac:dyDescent="0.25">
      <c r="B188" s="17"/>
      <c r="E188" s="1"/>
    </row>
    <row r="189" spans="2:5" x14ac:dyDescent="0.25">
      <c r="B189" s="17"/>
      <c r="E189" s="1"/>
    </row>
    <row r="190" spans="2:5" x14ac:dyDescent="0.25">
      <c r="B190" s="17"/>
      <c r="E190" s="1"/>
    </row>
    <row r="191" spans="2:5" x14ac:dyDescent="0.25">
      <c r="B191" s="17"/>
      <c r="E191" s="1"/>
    </row>
    <row r="192" spans="2:5" x14ac:dyDescent="0.25">
      <c r="B192" s="17"/>
      <c r="E192" s="1"/>
    </row>
    <row r="193" spans="2:5" x14ac:dyDescent="0.25">
      <c r="B193" s="17"/>
      <c r="E193" s="1"/>
    </row>
    <row r="194" spans="2:5" x14ac:dyDescent="0.25">
      <c r="B194" s="17"/>
      <c r="E194" s="1"/>
    </row>
    <row r="195" spans="2:5" x14ac:dyDescent="0.25">
      <c r="B195" s="17"/>
      <c r="E195" s="1"/>
    </row>
    <row r="196" spans="2:5" x14ac:dyDescent="0.25">
      <c r="B196" s="17"/>
      <c r="E196" s="1"/>
    </row>
    <row r="197" spans="2:5" x14ac:dyDescent="0.25">
      <c r="B197" s="17"/>
      <c r="E197" s="1"/>
    </row>
    <row r="198" spans="2:5" x14ac:dyDescent="0.25">
      <c r="B198" s="17"/>
      <c r="E198" s="1"/>
    </row>
    <row r="199" spans="2:5" x14ac:dyDescent="0.25">
      <c r="B199" s="17"/>
      <c r="E199" s="1"/>
    </row>
    <row r="200" spans="2:5" x14ac:dyDescent="0.25">
      <c r="B200" s="17"/>
      <c r="E200" s="1"/>
    </row>
    <row r="201" spans="2:5" x14ac:dyDescent="0.25">
      <c r="B201" s="17"/>
      <c r="E201" s="1"/>
    </row>
    <row r="202" spans="2:5" x14ac:dyDescent="0.25">
      <c r="B202" s="17"/>
      <c r="E202" s="1"/>
    </row>
    <row r="203" spans="2:5" x14ac:dyDescent="0.25">
      <c r="B203" s="17"/>
      <c r="E203" s="1"/>
    </row>
    <row r="204" spans="2:5" x14ac:dyDescent="0.25">
      <c r="B204" s="17"/>
      <c r="E204" s="1"/>
    </row>
    <row r="205" spans="2:5" x14ac:dyDescent="0.25">
      <c r="B205" s="17"/>
      <c r="E205" s="1"/>
    </row>
    <row r="206" spans="2:5" x14ac:dyDescent="0.25">
      <c r="B206" s="17"/>
      <c r="E206" s="1"/>
    </row>
    <row r="207" spans="2:5" x14ac:dyDescent="0.25">
      <c r="B207" s="17"/>
      <c r="E207" s="1"/>
    </row>
    <row r="208" spans="2:5" x14ac:dyDescent="0.25">
      <c r="B208" s="17"/>
      <c r="E208" s="1"/>
    </row>
    <row r="209" spans="2:5" x14ac:dyDescent="0.25">
      <c r="B209" s="17"/>
      <c r="E209" s="1"/>
    </row>
    <row r="210" spans="2:5" x14ac:dyDescent="0.25">
      <c r="B210" s="17"/>
      <c r="E210" s="1"/>
    </row>
    <row r="211" spans="2:5" x14ac:dyDescent="0.25">
      <c r="B211" s="17"/>
      <c r="E211" s="1"/>
    </row>
    <row r="212" spans="2:5" x14ac:dyDescent="0.25">
      <c r="B212" s="17"/>
      <c r="E212" s="1"/>
    </row>
    <row r="213" spans="2:5" x14ac:dyDescent="0.25">
      <c r="B213" s="17"/>
      <c r="E213" s="1"/>
    </row>
    <row r="214" spans="2:5" x14ac:dyDescent="0.25">
      <c r="B214" s="17"/>
      <c r="E214" s="1"/>
    </row>
    <row r="215" spans="2:5" x14ac:dyDescent="0.25">
      <c r="B215" s="17"/>
      <c r="E215" s="1"/>
    </row>
    <row r="216" spans="2:5" x14ac:dyDescent="0.25">
      <c r="B216" s="17"/>
      <c r="E216" s="1"/>
    </row>
    <row r="217" spans="2:5" x14ac:dyDescent="0.25">
      <c r="B217" s="17"/>
      <c r="E217" s="1"/>
    </row>
    <row r="218" spans="2:5" x14ac:dyDescent="0.25">
      <c r="B218" s="17"/>
      <c r="E218" s="1"/>
    </row>
    <row r="219" spans="2:5" x14ac:dyDescent="0.25">
      <c r="B219" s="17"/>
      <c r="E219" s="1"/>
    </row>
    <row r="220" spans="2:5" x14ac:dyDescent="0.25">
      <c r="B220" s="17"/>
      <c r="E220" s="1"/>
    </row>
    <row r="221" spans="2:5" x14ac:dyDescent="0.25">
      <c r="B221" s="17"/>
      <c r="E221" s="1"/>
    </row>
    <row r="222" spans="2:5" x14ac:dyDescent="0.25">
      <c r="B222" s="17"/>
      <c r="E222" s="1"/>
    </row>
    <row r="223" spans="2:5" x14ac:dyDescent="0.25">
      <c r="B223" s="17"/>
    </row>
    <row r="224" spans="2:5" x14ac:dyDescent="0.25">
      <c r="B224" s="17"/>
    </row>
    <row r="225" spans="2:2" x14ac:dyDescent="0.25">
      <c r="B225" s="17"/>
    </row>
    <row r="226" spans="2:2" x14ac:dyDescent="0.25">
      <c r="B226" s="17"/>
    </row>
    <row r="227" spans="2:2" x14ac:dyDescent="0.25">
      <c r="B227" s="17"/>
    </row>
    <row r="228" spans="2:2" x14ac:dyDescent="0.25">
      <c r="B228" s="17"/>
    </row>
    <row r="229" spans="2:2" x14ac:dyDescent="0.25">
      <c r="B229" s="17"/>
    </row>
    <row r="230" spans="2:2" x14ac:dyDescent="0.25">
      <c r="B230" s="17"/>
    </row>
    <row r="231" spans="2:2" x14ac:dyDescent="0.25">
      <c r="B231" s="17"/>
    </row>
    <row r="232" spans="2:2" x14ac:dyDescent="0.25">
      <c r="B232" s="17"/>
    </row>
    <row r="233" spans="2:2" x14ac:dyDescent="0.25">
      <c r="B233" s="17"/>
    </row>
    <row r="234" spans="2:2" x14ac:dyDescent="0.25">
      <c r="B234" s="17"/>
    </row>
    <row r="235" spans="2:2" x14ac:dyDescent="0.25">
      <c r="B235" s="17"/>
    </row>
    <row r="236" spans="2:2" x14ac:dyDescent="0.25">
      <c r="B236" s="17"/>
    </row>
    <row r="237" spans="2:2" x14ac:dyDescent="0.25">
      <c r="B237" s="17"/>
    </row>
    <row r="238" spans="2:2" x14ac:dyDescent="0.25">
      <c r="B238" s="17"/>
    </row>
    <row r="239" spans="2:2" x14ac:dyDescent="0.25">
      <c r="B239" s="17"/>
    </row>
    <row r="240" spans="2:2" x14ac:dyDescent="0.25">
      <c r="B240" s="17"/>
    </row>
    <row r="241" spans="2:2" x14ac:dyDescent="0.25">
      <c r="B241" s="17"/>
    </row>
    <row r="242" spans="2:2" x14ac:dyDescent="0.25">
      <c r="B242" s="17"/>
    </row>
    <row r="243" spans="2:2" x14ac:dyDescent="0.25">
      <c r="B243" s="17"/>
    </row>
    <row r="244" spans="2:2" x14ac:dyDescent="0.25">
      <c r="B244" s="17"/>
    </row>
    <row r="245" spans="2:2" x14ac:dyDescent="0.25">
      <c r="B245" s="17"/>
    </row>
    <row r="246" spans="2:2" x14ac:dyDescent="0.25">
      <c r="B246" s="17"/>
    </row>
    <row r="247" spans="2:2" x14ac:dyDescent="0.25">
      <c r="B247" s="17"/>
    </row>
    <row r="248" spans="2:2" x14ac:dyDescent="0.25">
      <c r="B248" s="17"/>
    </row>
    <row r="249" spans="2:2" x14ac:dyDescent="0.25">
      <c r="B249" s="17"/>
    </row>
    <row r="250" spans="2:2" x14ac:dyDescent="0.25">
      <c r="B250" s="17"/>
    </row>
    <row r="251" spans="2:2" x14ac:dyDescent="0.25">
      <c r="B251" s="17"/>
    </row>
    <row r="252" spans="2:2" x14ac:dyDescent="0.25">
      <c r="B252" s="17"/>
    </row>
    <row r="253" spans="2:2" x14ac:dyDescent="0.25">
      <c r="B253" s="17"/>
    </row>
    <row r="254" spans="2:2" x14ac:dyDescent="0.25">
      <c r="B254" s="17"/>
    </row>
    <row r="255" spans="2:2" x14ac:dyDescent="0.25">
      <c r="B255" s="17"/>
    </row>
    <row r="256" spans="2:2" x14ac:dyDescent="0.25">
      <c r="B256" s="17"/>
    </row>
    <row r="257" spans="2:2" x14ac:dyDescent="0.25">
      <c r="B257" s="17"/>
    </row>
    <row r="258" spans="2:2" x14ac:dyDescent="0.25">
      <c r="B258" s="17"/>
    </row>
    <row r="259" spans="2:2" x14ac:dyDescent="0.25">
      <c r="B259" s="17"/>
    </row>
    <row r="260" spans="2:2" x14ac:dyDescent="0.25">
      <c r="B260" s="17"/>
    </row>
    <row r="261" spans="2:2" x14ac:dyDescent="0.25">
      <c r="B261" s="17"/>
    </row>
    <row r="262" spans="2:2" x14ac:dyDescent="0.25">
      <c r="B262" s="17"/>
    </row>
    <row r="263" spans="2:2" x14ac:dyDescent="0.25">
      <c r="B263" s="17"/>
    </row>
    <row r="264" spans="2:2" x14ac:dyDescent="0.25">
      <c r="B264" s="17"/>
    </row>
    <row r="265" spans="2:2" x14ac:dyDescent="0.25">
      <c r="B265" s="17"/>
    </row>
    <row r="266" spans="2:2" x14ac:dyDescent="0.25">
      <c r="B266" s="17"/>
    </row>
    <row r="267" spans="2:2" x14ac:dyDescent="0.25">
      <c r="B267" s="17"/>
    </row>
    <row r="268" spans="2:2" x14ac:dyDescent="0.25">
      <c r="B268" s="17"/>
    </row>
    <row r="269" spans="2:2" x14ac:dyDescent="0.25">
      <c r="B269" s="17"/>
    </row>
    <row r="270" spans="2:2" x14ac:dyDescent="0.25">
      <c r="B270" s="17"/>
    </row>
    <row r="271" spans="2:2" x14ac:dyDescent="0.25">
      <c r="B271" s="17"/>
    </row>
    <row r="272" spans="2:2" x14ac:dyDescent="0.25">
      <c r="B272" s="17"/>
    </row>
    <row r="273" spans="2:2" x14ac:dyDescent="0.25">
      <c r="B273" s="17"/>
    </row>
    <row r="274" spans="2:2" x14ac:dyDescent="0.25">
      <c r="B274" s="17"/>
    </row>
    <row r="275" spans="2:2" x14ac:dyDescent="0.25">
      <c r="B275" s="17"/>
    </row>
    <row r="276" spans="2:2" x14ac:dyDescent="0.25">
      <c r="B276" s="17"/>
    </row>
    <row r="277" spans="2:2" x14ac:dyDescent="0.25">
      <c r="B277" s="17"/>
    </row>
    <row r="278" spans="2:2" x14ac:dyDescent="0.25">
      <c r="B278" s="17"/>
    </row>
    <row r="279" spans="2:2" x14ac:dyDescent="0.25">
      <c r="B279" s="17"/>
    </row>
    <row r="280" spans="2:2" x14ac:dyDescent="0.25">
      <c r="B280" s="17"/>
    </row>
    <row r="281" spans="2:2" x14ac:dyDescent="0.25">
      <c r="B281" s="17"/>
    </row>
    <row r="282" spans="2:2" x14ac:dyDescent="0.25">
      <c r="B282" s="17"/>
    </row>
    <row r="283" spans="2:2" x14ac:dyDescent="0.25">
      <c r="B283" s="17"/>
    </row>
    <row r="284" spans="2:2" x14ac:dyDescent="0.25">
      <c r="B284" s="17"/>
    </row>
    <row r="285" spans="2:2" x14ac:dyDescent="0.25">
      <c r="B285" s="17"/>
    </row>
    <row r="286" spans="2:2" x14ac:dyDescent="0.25">
      <c r="B286" s="17"/>
    </row>
    <row r="287" spans="2:2" x14ac:dyDescent="0.25">
      <c r="B287" s="17"/>
    </row>
    <row r="288" spans="2:2" x14ac:dyDescent="0.25">
      <c r="B288" s="17"/>
    </row>
    <row r="289" spans="2:2" x14ac:dyDescent="0.25">
      <c r="B289" s="17"/>
    </row>
    <row r="290" spans="2:2" x14ac:dyDescent="0.25">
      <c r="B290" s="17"/>
    </row>
  </sheetData>
  <pageMargins left="0.7" right="0.7" top="0.75" bottom="0.75" header="0.3" footer="0.3"/>
  <pageSetup paperSize="9" orientation="portrait" verticalDpi="598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F333"/>
  <sheetViews>
    <sheetView workbookViewId="0">
      <selection activeCell="B1" sqref="B1"/>
    </sheetView>
  </sheetViews>
  <sheetFormatPr baseColWidth="10" defaultRowHeight="15" x14ac:dyDescent="0.25"/>
  <cols>
    <col min="2" max="2" width="13.28515625" bestFit="1" customWidth="1"/>
    <col min="3" max="3" width="13.140625" style="2" bestFit="1" customWidth="1"/>
  </cols>
  <sheetData>
    <row r="1" spans="1:6" ht="15" customHeight="1" x14ac:dyDescent="0.25">
      <c r="A1" s="10" t="s">
        <v>235</v>
      </c>
      <c r="B1" s="61" t="s">
        <v>689</v>
      </c>
    </row>
    <row r="3" spans="1:6" x14ac:dyDescent="0.25">
      <c r="B3" s="45" t="s">
        <v>443</v>
      </c>
      <c r="C3" s="46" t="s">
        <v>256</v>
      </c>
    </row>
    <row r="4" spans="1:6" x14ac:dyDescent="0.25">
      <c r="B4" s="30" t="s">
        <v>325</v>
      </c>
      <c r="C4" s="2">
        <v>1</v>
      </c>
      <c r="E4" s="10"/>
    </row>
    <row r="5" spans="1:6" x14ac:dyDescent="0.25">
      <c r="B5" s="30" t="s">
        <v>326</v>
      </c>
      <c r="C5" s="2">
        <v>2</v>
      </c>
      <c r="E5" s="10"/>
    </row>
    <row r="6" spans="1:6" x14ac:dyDescent="0.25">
      <c r="B6" s="31" t="s">
        <v>1003</v>
      </c>
      <c r="C6" s="2">
        <v>2</v>
      </c>
      <c r="E6" s="10"/>
    </row>
    <row r="7" spans="1:6" x14ac:dyDescent="0.25">
      <c r="B7" s="31" t="s">
        <v>1004</v>
      </c>
      <c r="C7" s="2">
        <v>2</v>
      </c>
      <c r="E7" s="10"/>
    </row>
    <row r="8" spans="1:6" x14ac:dyDescent="0.25">
      <c r="B8" s="30" t="s">
        <v>324</v>
      </c>
      <c r="C8" s="2">
        <v>6</v>
      </c>
      <c r="E8" s="10"/>
    </row>
    <row r="9" spans="1:6" x14ac:dyDescent="0.25">
      <c r="B9" s="30" t="s">
        <v>172</v>
      </c>
      <c r="C9" s="2">
        <v>1</v>
      </c>
      <c r="E9" s="10"/>
      <c r="F9" s="15"/>
    </row>
    <row r="10" spans="1:6" x14ac:dyDescent="0.25">
      <c r="B10" s="30" t="s">
        <v>173</v>
      </c>
      <c r="C10" s="2">
        <v>1</v>
      </c>
      <c r="E10" s="10"/>
    </row>
    <row r="11" spans="1:6" x14ac:dyDescent="0.25">
      <c r="B11" s="30" t="s">
        <v>174</v>
      </c>
      <c r="C11" s="2">
        <v>1</v>
      </c>
      <c r="E11" s="10"/>
    </row>
    <row r="12" spans="1:6" x14ac:dyDescent="0.25">
      <c r="B12" s="30" t="s">
        <v>175</v>
      </c>
      <c r="C12" s="2">
        <v>1</v>
      </c>
      <c r="E12" s="10"/>
    </row>
    <row r="13" spans="1:6" x14ac:dyDescent="0.25">
      <c r="B13" s="30" t="s">
        <v>176</v>
      </c>
      <c r="C13" s="2">
        <v>1</v>
      </c>
      <c r="E13" s="10"/>
    </row>
    <row r="14" spans="1:6" x14ac:dyDescent="0.25">
      <c r="B14" s="30" t="s">
        <v>85</v>
      </c>
      <c r="C14" s="2">
        <v>1</v>
      </c>
      <c r="E14" s="10"/>
    </row>
    <row r="15" spans="1:6" x14ac:dyDescent="0.25">
      <c r="B15" s="30" t="s">
        <v>177</v>
      </c>
      <c r="C15" s="2">
        <v>1</v>
      </c>
      <c r="E15" s="10"/>
    </row>
    <row r="16" spans="1:6" x14ac:dyDescent="0.25">
      <c r="B16" s="30" t="s">
        <v>178</v>
      </c>
      <c r="C16" s="2">
        <v>1</v>
      </c>
      <c r="E16" s="10"/>
    </row>
    <row r="17" spans="2:5" x14ac:dyDescent="0.25">
      <c r="B17" s="30" t="s">
        <v>86</v>
      </c>
      <c r="C17" s="2">
        <v>1</v>
      </c>
      <c r="E17" s="10"/>
    </row>
    <row r="18" spans="2:5" x14ac:dyDescent="0.25">
      <c r="B18" s="30" t="s">
        <v>171</v>
      </c>
      <c r="C18" s="2">
        <v>1</v>
      </c>
      <c r="E18" s="10"/>
    </row>
    <row r="19" spans="2:5" x14ac:dyDescent="0.25">
      <c r="B19" s="30" t="s">
        <v>179</v>
      </c>
      <c r="C19" s="2">
        <v>1</v>
      </c>
      <c r="E19" s="10"/>
    </row>
    <row r="20" spans="2:5" x14ac:dyDescent="0.25">
      <c r="B20" s="30" t="s">
        <v>180</v>
      </c>
      <c r="C20" s="2">
        <v>1</v>
      </c>
      <c r="E20" s="10"/>
    </row>
    <row r="21" spans="2:5" x14ac:dyDescent="0.25">
      <c r="B21" s="30" t="s">
        <v>181</v>
      </c>
      <c r="C21" s="2">
        <v>1</v>
      </c>
      <c r="E21" s="10"/>
    </row>
    <row r="22" spans="2:5" x14ac:dyDescent="0.25">
      <c r="B22" s="30" t="s">
        <v>87</v>
      </c>
      <c r="C22" s="2">
        <v>1</v>
      </c>
      <c r="E22" s="10"/>
    </row>
    <row r="23" spans="2:5" x14ac:dyDescent="0.25">
      <c r="B23" s="30" t="s">
        <v>182</v>
      </c>
      <c r="C23" s="2">
        <v>1</v>
      </c>
      <c r="E23" s="10"/>
    </row>
    <row r="24" spans="2:5" x14ac:dyDescent="0.25">
      <c r="B24" s="30" t="s">
        <v>183</v>
      </c>
      <c r="C24" s="2">
        <v>1</v>
      </c>
      <c r="E24" s="10"/>
    </row>
    <row r="25" spans="2:5" x14ac:dyDescent="0.25">
      <c r="B25" s="30" t="s">
        <v>184</v>
      </c>
      <c r="C25" s="2">
        <v>1</v>
      </c>
      <c r="E25" s="10"/>
    </row>
    <row r="26" spans="2:5" x14ac:dyDescent="0.25">
      <c r="B26" s="30" t="s">
        <v>170</v>
      </c>
      <c r="C26" s="2">
        <v>1</v>
      </c>
      <c r="E26" s="10"/>
    </row>
    <row r="27" spans="2:5" x14ac:dyDescent="0.25">
      <c r="B27" s="30" t="s">
        <v>185</v>
      </c>
      <c r="C27" s="2">
        <v>1</v>
      </c>
      <c r="E27" s="10"/>
    </row>
    <row r="28" spans="2:5" x14ac:dyDescent="0.25">
      <c r="B28" s="30" t="s">
        <v>88</v>
      </c>
      <c r="C28" s="2">
        <v>1</v>
      </c>
      <c r="E28" s="10"/>
    </row>
    <row r="29" spans="2:5" x14ac:dyDescent="0.25">
      <c r="B29" s="30" t="s">
        <v>186</v>
      </c>
      <c r="C29" s="2">
        <v>1</v>
      </c>
      <c r="E29" s="10"/>
    </row>
    <row r="30" spans="2:5" x14ac:dyDescent="0.25">
      <c r="B30" s="30" t="s">
        <v>187</v>
      </c>
      <c r="C30" s="2">
        <v>1</v>
      </c>
      <c r="E30" s="10"/>
    </row>
    <row r="31" spans="2:5" x14ac:dyDescent="0.25">
      <c r="B31" s="30" t="s">
        <v>188</v>
      </c>
      <c r="C31" s="2">
        <v>2</v>
      </c>
      <c r="E31" s="10"/>
    </row>
    <row r="32" spans="2:5" x14ac:dyDescent="0.25">
      <c r="B32" s="30" t="s">
        <v>189</v>
      </c>
      <c r="C32" s="2">
        <v>2</v>
      </c>
      <c r="E32" s="10"/>
    </row>
    <row r="33" spans="2:5" x14ac:dyDescent="0.25">
      <c r="B33" s="30" t="s">
        <v>190</v>
      </c>
      <c r="C33" s="2">
        <v>2</v>
      </c>
      <c r="E33" s="10"/>
    </row>
    <row r="34" spans="2:5" x14ac:dyDescent="0.25">
      <c r="B34" s="30" t="s">
        <v>191</v>
      </c>
      <c r="C34" s="2">
        <v>2</v>
      </c>
      <c r="E34" s="10"/>
    </row>
    <row r="35" spans="2:5" x14ac:dyDescent="0.25">
      <c r="B35" s="30" t="s">
        <v>192</v>
      </c>
      <c r="C35" s="2">
        <v>2</v>
      </c>
      <c r="E35" s="10"/>
    </row>
    <row r="36" spans="2:5" x14ac:dyDescent="0.25">
      <c r="B36" s="30" t="s">
        <v>89</v>
      </c>
      <c r="C36" s="2">
        <v>2</v>
      </c>
      <c r="E36" s="10"/>
    </row>
    <row r="37" spans="2:5" x14ac:dyDescent="0.25">
      <c r="B37" s="30" t="s">
        <v>193</v>
      </c>
      <c r="C37" s="2">
        <v>2</v>
      </c>
      <c r="E37" s="10"/>
    </row>
    <row r="38" spans="2:5" x14ac:dyDescent="0.25">
      <c r="B38" s="30" t="s">
        <v>194</v>
      </c>
      <c r="C38" s="2">
        <v>2</v>
      </c>
      <c r="E38" s="10"/>
    </row>
    <row r="39" spans="2:5" x14ac:dyDescent="0.25">
      <c r="B39" s="30" t="s">
        <v>195</v>
      </c>
      <c r="C39" s="2">
        <v>2</v>
      </c>
      <c r="E39" s="10"/>
    </row>
    <row r="40" spans="2:5" x14ac:dyDescent="0.25">
      <c r="B40" s="30" t="s">
        <v>196</v>
      </c>
      <c r="C40" s="2">
        <v>2</v>
      </c>
      <c r="E40" s="10"/>
    </row>
    <row r="41" spans="2:5" x14ac:dyDescent="0.25">
      <c r="B41" s="30" t="s">
        <v>197</v>
      </c>
      <c r="C41" s="2">
        <v>2</v>
      </c>
      <c r="E41" s="10"/>
    </row>
    <row r="42" spans="2:5" x14ac:dyDescent="0.25">
      <c r="B42" s="30" t="s">
        <v>198</v>
      </c>
      <c r="C42" s="2">
        <v>2</v>
      </c>
      <c r="E42" s="10"/>
    </row>
    <row r="43" spans="2:5" x14ac:dyDescent="0.25">
      <c r="B43" s="30" t="s">
        <v>199</v>
      </c>
      <c r="C43" s="2">
        <v>2</v>
      </c>
      <c r="E43" s="10"/>
    </row>
    <row r="44" spans="2:5" x14ac:dyDescent="0.25">
      <c r="B44" s="30" t="s">
        <v>90</v>
      </c>
      <c r="C44" s="2">
        <v>2</v>
      </c>
      <c r="E44" s="10"/>
    </row>
    <row r="45" spans="2:5" x14ac:dyDescent="0.25">
      <c r="B45" s="30" t="s">
        <v>200</v>
      </c>
      <c r="C45" s="2">
        <v>2</v>
      </c>
      <c r="E45" s="10"/>
    </row>
    <row r="46" spans="2:5" x14ac:dyDescent="0.25">
      <c r="B46" s="30" t="s">
        <v>201</v>
      </c>
      <c r="C46" s="2">
        <v>2</v>
      </c>
      <c r="E46" s="10"/>
    </row>
    <row r="47" spans="2:5" x14ac:dyDescent="0.25">
      <c r="B47" s="30" t="s">
        <v>202</v>
      </c>
      <c r="C47" s="2">
        <v>2</v>
      </c>
      <c r="E47" s="10"/>
    </row>
    <row r="48" spans="2:5" x14ac:dyDescent="0.25">
      <c r="B48" s="30" t="s">
        <v>203</v>
      </c>
      <c r="C48" s="2">
        <v>2</v>
      </c>
      <c r="E48" s="10"/>
    </row>
    <row r="49" spans="2:5" x14ac:dyDescent="0.25">
      <c r="B49" s="30" t="s">
        <v>204</v>
      </c>
      <c r="C49" s="2">
        <v>2</v>
      </c>
      <c r="E49" s="10"/>
    </row>
    <row r="50" spans="2:5" x14ac:dyDescent="0.25">
      <c r="B50" s="30" t="s">
        <v>168</v>
      </c>
      <c r="C50" s="2">
        <v>2</v>
      </c>
      <c r="E50" s="10"/>
    </row>
    <row r="51" spans="2:5" x14ac:dyDescent="0.25">
      <c r="B51" s="30" t="s">
        <v>205</v>
      </c>
      <c r="C51" s="2">
        <v>2</v>
      </c>
      <c r="E51" s="10"/>
    </row>
    <row r="52" spans="2:5" x14ac:dyDescent="0.25">
      <c r="B52" s="30" t="s">
        <v>169</v>
      </c>
      <c r="C52" s="2">
        <v>2</v>
      </c>
      <c r="E52" s="10"/>
    </row>
    <row r="53" spans="2:5" x14ac:dyDescent="0.25">
      <c r="B53" s="30" t="s">
        <v>91</v>
      </c>
      <c r="C53" s="2">
        <v>2</v>
      </c>
      <c r="E53" s="10"/>
    </row>
    <row r="54" spans="2:5" x14ac:dyDescent="0.25">
      <c r="B54" s="30" t="s">
        <v>92</v>
      </c>
      <c r="C54" s="2">
        <v>6</v>
      </c>
      <c r="E54" s="10"/>
    </row>
    <row r="55" spans="2:5" x14ac:dyDescent="0.25">
      <c r="B55" s="30" t="s">
        <v>206</v>
      </c>
      <c r="C55" s="2">
        <v>1</v>
      </c>
      <c r="E55" s="10"/>
    </row>
    <row r="56" spans="2:5" x14ac:dyDescent="0.25">
      <c r="B56" s="30" t="s">
        <v>207</v>
      </c>
      <c r="C56" s="2">
        <v>2</v>
      </c>
      <c r="E56" s="10"/>
    </row>
    <row r="57" spans="2:5" x14ac:dyDescent="0.25">
      <c r="B57" s="30" t="s">
        <v>208</v>
      </c>
      <c r="C57" s="2">
        <v>1</v>
      </c>
      <c r="E57" s="10"/>
    </row>
    <row r="58" spans="2:5" x14ac:dyDescent="0.25">
      <c r="B58" s="30" t="s">
        <v>209</v>
      </c>
      <c r="C58" s="2">
        <v>2</v>
      </c>
      <c r="E58" s="10"/>
    </row>
    <row r="59" spans="2:5" x14ac:dyDescent="0.25">
      <c r="B59" s="30" t="s">
        <v>210</v>
      </c>
      <c r="C59" s="2">
        <v>1</v>
      </c>
      <c r="E59" s="10"/>
    </row>
    <row r="60" spans="2:5" x14ac:dyDescent="0.25">
      <c r="B60" s="30" t="s">
        <v>211</v>
      </c>
      <c r="C60" s="2">
        <v>2</v>
      </c>
      <c r="E60" s="10"/>
    </row>
    <row r="61" spans="2:5" x14ac:dyDescent="0.25">
      <c r="B61" s="30" t="s">
        <v>212</v>
      </c>
      <c r="C61" s="2">
        <v>1</v>
      </c>
      <c r="E61" s="10"/>
    </row>
    <row r="62" spans="2:5" x14ac:dyDescent="0.25">
      <c r="B62" s="30" t="s">
        <v>213</v>
      </c>
      <c r="C62" s="2">
        <v>2</v>
      </c>
      <c r="E62" s="10"/>
    </row>
    <row r="63" spans="2:5" x14ac:dyDescent="0.25">
      <c r="B63" s="30" t="s">
        <v>214</v>
      </c>
      <c r="C63" s="2">
        <v>1</v>
      </c>
      <c r="E63" s="10"/>
    </row>
    <row r="64" spans="2:5" x14ac:dyDescent="0.25">
      <c r="B64" s="30" t="s">
        <v>215</v>
      </c>
      <c r="C64" s="2">
        <v>2</v>
      </c>
      <c r="E64" s="10"/>
    </row>
    <row r="65" spans="2:5" x14ac:dyDescent="0.25">
      <c r="B65" s="30" t="s">
        <v>216</v>
      </c>
      <c r="C65" s="2">
        <v>1</v>
      </c>
      <c r="E65" s="10"/>
    </row>
    <row r="66" spans="2:5" x14ac:dyDescent="0.25">
      <c r="B66" s="30" t="s">
        <v>217</v>
      </c>
      <c r="C66" s="2">
        <v>2</v>
      </c>
      <c r="E66" s="10"/>
    </row>
    <row r="67" spans="2:5" x14ac:dyDescent="0.25">
      <c r="B67" s="30" t="s">
        <v>93</v>
      </c>
      <c r="C67" s="2">
        <v>1</v>
      </c>
      <c r="E67" s="10"/>
    </row>
    <row r="68" spans="2:5" x14ac:dyDescent="0.25">
      <c r="B68" s="30" t="s">
        <v>94</v>
      </c>
      <c r="C68" s="2">
        <v>2</v>
      </c>
      <c r="E68" s="10"/>
    </row>
    <row r="69" spans="2:5" x14ac:dyDescent="0.25">
      <c r="B69" s="30" t="s">
        <v>218</v>
      </c>
      <c r="C69" s="2">
        <v>1</v>
      </c>
      <c r="E69" s="10"/>
    </row>
    <row r="70" spans="2:5" x14ac:dyDescent="0.25">
      <c r="B70" s="30" t="s">
        <v>219</v>
      </c>
      <c r="C70" s="2">
        <v>2</v>
      </c>
      <c r="E70" s="10"/>
    </row>
    <row r="71" spans="2:5" x14ac:dyDescent="0.25">
      <c r="B71" s="30" t="s">
        <v>95</v>
      </c>
      <c r="C71" s="2">
        <v>6</v>
      </c>
      <c r="E71" s="10"/>
    </row>
    <row r="72" spans="2:5" x14ac:dyDescent="0.25">
      <c r="B72" s="30" t="s">
        <v>96</v>
      </c>
      <c r="C72" s="2">
        <v>6</v>
      </c>
      <c r="E72" s="10"/>
    </row>
    <row r="73" spans="2:5" x14ac:dyDescent="0.25">
      <c r="B73" s="30" t="s">
        <v>97</v>
      </c>
      <c r="C73" s="2">
        <v>6</v>
      </c>
      <c r="E73" s="10"/>
    </row>
    <row r="74" spans="2:5" x14ac:dyDescent="0.25">
      <c r="B74" s="30" t="s">
        <v>98</v>
      </c>
      <c r="C74" s="2">
        <v>6</v>
      </c>
      <c r="E74" s="10"/>
    </row>
    <row r="75" spans="2:5" x14ac:dyDescent="0.25">
      <c r="B75" s="30" t="s">
        <v>99</v>
      </c>
      <c r="C75" s="2">
        <v>6</v>
      </c>
      <c r="E75" s="10"/>
    </row>
    <row r="76" spans="2:5" x14ac:dyDescent="0.25">
      <c r="B76" s="30" t="s">
        <v>100</v>
      </c>
      <c r="C76" s="2">
        <v>6</v>
      </c>
      <c r="E76" s="10"/>
    </row>
    <row r="77" spans="2:5" x14ac:dyDescent="0.25">
      <c r="B77" s="30" t="s">
        <v>101</v>
      </c>
      <c r="C77" s="2">
        <v>6</v>
      </c>
      <c r="E77" s="10"/>
    </row>
    <row r="78" spans="2:5" x14ac:dyDescent="0.25">
      <c r="B78" s="30" t="s">
        <v>102</v>
      </c>
      <c r="C78" s="2">
        <v>6</v>
      </c>
      <c r="E78" s="10"/>
    </row>
    <row r="79" spans="2:5" x14ac:dyDescent="0.25">
      <c r="B79" s="30" t="s">
        <v>103</v>
      </c>
      <c r="C79" s="2">
        <v>6</v>
      </c>
      <c r="E79" s="10"/>
    </row>
    <row r="80" spans="2:5" x14ac:dyDescent="0.25">
      <c r="B80" s="30" t="s">
        <v>104</v>
      </c>
      <c r="C80" s="2">
        <v>6</v>
      </c>
      <c r="E80" s="10"/>
    </row>
    <row r="81" spans="2:5" x14ac:dyDescent="0.25">
      <c r="B81" s="30" t="s">
        <v>105</v>
      </c>
      <c r="C81" s="2">
        <v>6</v>
      </c>
      <c r="E81" s="10"/>
    </row>
    <row r="82" spans="2:5" x14ac:dyDescent="0.25">
      <c r="B82" s="30" t="s">
        <v>106</v>
      </c>
      <c r="C82" s="2">
        <v>6</v>
      </c>
      <c r="E82" s="10"/>
    </row>
    <row r="83" spans="2:5" x14ac:dyDescent="0.25">
      <c r="B83" s="30" t="s">
        <v>107</v>
      </c>
      <c r="C83" s="2">
        <v>6</v>
      </c>
      <c r="E83" s="10"/>
    </row>
    <row r="84" spans="2:5" x14ac:dyDescent="0.25">
      <c r="B84" s="30" t="s">
        <v>108</v>
      </c>
      <c r="C84" s="2">
        <v>6</v>
      </c>
      <c r="E84" s="10"/>
    </row>
    <row r="85" spans="2:5" x14ac:dyDescent="0.25">
      <c r="B85" s="30" t="s">
        <v>109</v>
      </c>
      <c r="C85" s="2">
        <v>6</v>
      </c>
      <c r="E85" s="10"/>
    </row>
    <row r="86" spans="2:5" x14ac:dyDescent="0.25">
      <c r="B86" s="30" t="s">
        <v>110</v>
      </c>
      <c r="C86" s="2">
        <v>6</v>
      </c>
      <c r="E86" s="10"/>
    </row>
    <row r="87" spans="2:5" x14ac:dyDescent="0.25">
      <c r="B87" s="30" t="s">
        <v>111</v>
      </c>
      <c r="C87" s="2">
        <v>6</v>
      </c>
      <c r="E87" s="10"/>
    </row>
    <row r="88" spans="2:5" x14ac:dyDescent="0.25">
      <c r="B88" s="30" t="s">
        <v>112</v>
      </c>
      <c r="C88" s="2">
        <v>6</v>
      </c>
      <c r="E88" s="10"/>
    </row>
    <row r="89" spans="2:5" x14ac:dyDescent="0.25">
      <c r="B89" s="30" t="s">
        <v>113</v>
      </c>
      <c r="C89" s="2">
        <v>6</v>
      </c>
      <c r="E89" s="10"/>
    </row>
    <row r="90" spans="2:5" x14ac:dyDescent="0.25">
      <c r="B90" s="30" t="s">
        <v>114</v>
      </c>
      <c r="C90" s="2">
        <v>6</v>
      </c>
      <c r="E90" s="10"/>
    </row>
    <row r="91" spans="2:5" x14ac:dyDescent="0.25">
      <c r="B91" s="30" t="s">
        <v>115</v>
      </c>
      <c r="C91" s="2">
        <v>6</v>
      </c>
      <c r="E91" s="10"/>
    </row>
    <row r="92" spans="2:5" x14ac:dyDescent="0.25">
      <c r="B92" s="30" t="s">
        <v>116</v>
      </c>
      <c r="C92" s="2">
        <v>6</v>
      </c>
      <c r="E92" s="10"/>
    </row>
    <row r="93" spans="2:5" x14ac:dyDescent="0.25">
      <c r="B93" s="30" t="s">
        <v>117</v>
      </c>
      <c r="C93" s="2">
        <v>6</v>
      </c>
      <c r="E93" s="10"/>
    </row>
    <row r="94" spans="2:5" x14ac:dyDescent="0.25">
      <c r="B94" s="30" t="s">
        <v>118</v>
      </c>
      <c r="C94" s="2">
        <v>6</v>
      </c>
      <c r="E94" s="10"/>
    </row>
    <row r="95" spans="2:5" x14ac:dyDescent="0.25">
      <c r="B95" s="30" t="s">
        <v>119</v>
      </c>
      <c r="C95" s="2">
        <v>6</v>
      </c>
      <c r="E95" s="10"/>
    </row>
    <row r="96" spans="2:5" x14ac:dyDescent="0.25">
      <c r="B96" s="30" t="s">
        <v>120</v>
      </c>
      <c r="C96" s="2">
        <v>6</v>
      </c>
      <c r="E96" s="10"/>
    </row>
    <row r="97" spans="2:5" x14ac:dyDescent="0.25">
      <c r="B97" s="30" t="s">
        <v>121</v>
      </c>
      <c r="C97" s="2">
        <v>6</v>
      </c>
      <c r="E97" s="10"/>
    </row>
    <row r="98" spans="2:5" x14ac:dyDescent="0.25">
      <c r="B98" s="30" t="s">
        <v>122</v>
      </c>
      <c r="C98" s="2">
        <v>6</v>
      </c>
      <c r="E98" s="10"/>
    </row>
    <row r="99" spans="2:5" x14ac:dyDescent="0.25">
      <c r="B99" s="30" t="s">
        <v>123</v>
      </c>
      <c r="C99" s="2">
        <v>1</v>
      </c>
      <c r="E99" s="10"/>
    </row>
    <row r="100" spans="2:5" x14ac:dyDescent="0.25">
      <c r="B100" s="30" t="s">
        <v>515</v>
      </c>
      <c r="C100" s="2">
        <v>4</v>
      </c>
      <c r="E100" s="10"/>
    </row>
    <row r="101" spans="2:5" x14ac:dyDescent="0.25">
      <c r="B101" s="30" t="s">
        <v>516</v>
      </c>
      <c r="C101" s="2">
        <v>4</v>
      </c>
      <c r="E101" s="10"/>
    </row>
    <row r="102" spans="2:5" x14ac:dyDescent="0.25">
      <c r="B102" s="30" t="s">
        <v>517</v>
      </c>
      <c r="C102" s="2">
        <v>4</v>
      </c>
      <c r="E102" s="10"/>
    </row>
    <row r="103" spans="2:5" x14ac:dyDescent="0.25">
      <c r="B103" s="30" t="s">
        <v>518</v>
      </c>
      <c r="C103" s="2">
        <v>4</v>
      </c>
      <c r="E103" s="10"/>
    </row>
    <row r="104" spans="2:5" x14ac:dyDescent="0.25">
      <c r="B104" s="30" t="s">
        <v>519</v>
      </c>
      <c r="C104" s="2">
        <v>4</v>
      </c>
      <c r="E104" s="10"/>
    </row>
    <row r="105" spans="2:5" x14ac:dyDescent="0.25">
      <c r="B105" s="30" t="s">
        <v>520</v>
      </c>
      <c r="C105" s="2">
        <v>4</v>
      </c>
      <c r="E105" s="10"/>
    </row>
    <row r="106" spans="2:5" x14ac:dyDescent="0.25">
      <c r="B106" s="30" t="s">
        <v>521</v>
      </c>
      <c r="C106" s="2">
        <v>4</v>
      </c>
      <c r="E106" s="10"/>
    </row>
    <row r="107" spans="2:5" x14ac:dyDescent="0.25">
      <c r="B107" s="30" t="s">
        <v>522</v>
      </c>
      <c r="C107" s="2">
        <v>4</v>
      </c>
      <c r="E107" s="10"/>
    </row>
    <row r="108" spans="2:5" x14ac:dyDescent="0.25">
      <c r="B108" s="30" t="s">
        <v>523</v>
      </c>
      <c r="C108" s="2">
        <v>4</v>
      </c>
      <c r="E108" s="10"/>
    </row>
    <row r="109" spans="2:5" x14ac:dyDescent="0.25">
      <c r="B109" s="30" t="s">
        <v>524</v>
      </c>
      <c r="C109" s="2">
        <v>4</v>
      </c>
      <c r="E109" s="10"/>
    </row>
    <row r="110" spans="2:5" x14ac:dyDescent="0.25">
      <c r="B110" s="30" t="s">
        <v>525</v>
      </c>
      <c r="C110" s="2">
        <v>4</v>
      </c>
      <c r="E110" s="10"/>
    </row>
    <row r="111" spans="2:5" x14ac:dyDescent="0.25">
      <c r="B111" s="30" t="s">
        <v>526</v>
      </c>
      <c r="C111" s="2">
        <v>4</v>
      </c>
      <c r="E111" s="10"/>
    </row>
    <row r="112" spans="2:5" x14ac:dyDescent="0.25">
      <c r="B112" s="30" t="s">
        <v>527</v>
      </c>
      <c r="C112" s="2">
        <v>4</v>
      </c>
      <c r="E112" s="10"/>
    </row>
    <row r="113" spans="2:5" x14ac:dyDescent="0.25">
      <c r="B113" s="30" t="s">
        <v>528</v>
      </c>
      <c r="C113" s="2">
        <v>4</v>
      </c>
      <c r="E113" s="10"/>
    </row>
    <row r="114" spans="2:5" x14ac:dyDescent="0.25">
      <c r="B114" s="30" t="s">
        <v>529</v>
      </c>
      <c r="C114" s="2">
        <v>4</v>
      </c>
      <c r="E114" s="10"/>
    </row>
    <row r="115" spans="2:5" x14ac:dyDescent="0.25">
      <c r="B115" s="30" t="s">
        <v>530</v>
      </c>
      <c r="C115" s="2">
        <v>4</v>
      </c>
      <c r="E115" s="10"/>
    </row>
    <row r="116" spans="2:5" x14ac:dyDescent="0.25">
      <c r="B116" s="30" t="s">
        <v>531</v>
      </c>
      <c r="C116" s="2">
        <v>4</v>
      </c>
      <c r="E116" s="10"/>
    </row>
    <row r="117" spans="2:5" x14ac:dyDescent="0.25">
      <c r="B117" s="30" t="s">
        <v>532</v>
      </c>
      <c r="C117" s="2">
        <v>4</v>
      </c>
      <c r="E117" s="10"/>
    </row>
    <row r="118" spans="2:5" x14ac:dyDescent="0.25">
      <c r="B118" s="30" t="s">
        <v>533</v>
      </c>
      <c r="C118" s="2">
        <v>4</v>
      </c>
      <c r="E118" s="10"/>
    </row>
    <row r="119" spans="2:5" x14ac:dyDescent="0.25">
      <c r="B119" s="30" t="s">
        <v>124</v>
      </c>
      <c r="C119" s="2">
        <v>2</v>
      </c>
      <c r="E119" s="10"/>
    </row>
    <row r="120" spans="2:5" x14ac:dyDescent="0.25">
      <c r="B120" s="30" t="s">
        <v>125</v>
      </c>
      <c r="C120" s="2">
        <v>6</v>
      </c>
      <c r="E120" s="10"/>
    </row>
    <row r="121" spans="2:5" x14ac:dyDescent="0.25">
      <c r="B121" s="30" t="s">
        <v>126</v>
      </c>
      <c r="C121" s="2">
        <v>1</v>
      </c>
      <c r="E121" s="10"/>
    </row>
    <row r="122" spans="2:5" x14ac:dyDescent="0.25">
      <c r="B122" s="30" t="s">
        <v>127</v>
      </c>
      <c r="C122" s="2">
        <v>2</v>
      </c>
      <c r="E122" s="10"/>
    </row>
    <row r="123" spans="2:5" x14ac:dyDescent="0.25">
      <c r="B123" s="30" t="s">
        <v>128</v>
      </c>
      <c r="C123" s="2">
        <v>6</v>
      </c>
      <c r="E123" s="10"/>
    </row>
    <row r="124" spans="2:5" x14ac:dyDescent="0.25">
      <c r="B124" s="30" t="s">
        <v>129</v>
      </c>
      <c r="C124" s="2">
        <v>1</v>
      </c>
      <c r="E124" s="10"/>
    </row>
    <row r="125" spans="2:5" x14ac:dyDescent="0.25">
      <c r="B125" s="30" t="s">
        <v>130</v>
      </c>
      <c r="C125" s="2">
        <v>2</v>
      </c>
      <c r="E125" s="10"/>
    </row>
    <row r="126" spans="2:5" x14ac:dyDescent="0.25">
      <c r="B126" s="30" t="s">
        <v>131</v>
      </c>
      <c r="C126" s="2">
        <v>6</v>
      </c>
      <c r="E126" s="10"/>
    </row>
    <row r="127" spans="2:5" x14ac:dyDescent="0.25">
      <c r="B127" s="30" t="s">
        <v>132</v>
      </c>
      <c r="C127" s="2">
        <v>1</v>
      </c>
      <c r="E127" s="10"/>
    </row>
    <row r="128" spans="2:5" x14ac:dyDescent="0.25">
      <c r="B128" s="30" t="s">
        <v>133</v>
      </c>
      <c r="C128" s="2">
        <v>2</v>
      </c>
      <c r="E128" s="10"/>
    </row>
    <row r="129" spans="2:5" x14ac:dyDescent="0.25">
      <c r="B129" s="30" t="s">
        <v>134</v>
      </c>
      <c r="C129" s="2">
        <v>6</v>
      </c>
      <c r="E129" s="10"/>
    </row>
    <row r="130" spans="2:5" x14ac:dyDescent="0.25">
      <c r="B130" s="30" t="s">
        <v>135</v>
      </c>
      <c r="C130" s="2">
        <v>1</v>
      </c>
      <c r="E130" s="10"/>
    </row>
    <row r="131" spans="2:5" x14ac:dyDescent="0.25">
      <c r="B131" s="30" t="s">
        <v>136</v>
      </c>
      <c r="C131" s="2">
        <v>2</v>
      </c>
      <c r="E131" s="10"/>
    </row>
    <row r="132" spans="2:5" x14ac:dyDescent="0.25">
      <c r="B132" s="30" t="s">
        <v>137</v>
      </c>
      <c r="C132" s="2">
        <v>6</v>
      </c>
      <c r="E132" s="10"/>
    </row>
    <row r="133" spans="2:5" x14ac:dyDescent="0.25">
      <c r="B133" s="30" t="s">
        <v>138</v>
      </c>
      <c r="C133" s="2">
        <v>1</v>
      </c>
      <c r="E133" s="10"/>
    </row>
    <row r="134" spans="2:5" x14ac:dyDescent="0.25">
      <c r="B134" s="30" t="s">
        <v>139</v>
      </c>
      <c r="C134" s="2">
        <v>2</v>
      </c>
      <c r="E134" s="10"/>
    </row>
    <row r="135" spans="2:5" x14ac:dyDescent="0.25">
      <c r="B135" s="30" t="s">
        <v>140</v>
      </c>
      <c r="C135" s="2">
        <v>6</v>
      </c>
      <c r="E135" s="10"/>
    </row>
    <row r="136" spans="2:5" x14ac:dyDescent="0.25">
      <c r="B136" s="30" t="s">
        <v>141</v>
      </c>
      <c r="C136" s="2">
        <v>1</v>
      </c>
      <c r="E136" s="10"/>
    </row>
    <row r="137" spans="2:5" x14ac:dyDescent="0.25">
      <c r="B137" s="30" t="s">
        <v>142</v>
      </c>
      <c r="C137" s="2">
        <v>2</v>
      </c>
      <c r="E137" s="10"/>
    </row>
    <row r="138" spans="2:5" x14ac:dyDescent="0.25">
      <c r="B138" s="30" t="s">
        <v>143</v>
      </c>
      <c r="C138" s="2">
        <v>6</v>
      </c>
      <c r="E138" s="10"/>
    </row>
    <row r="139" spans="2:5" x14ac:dyDescent="0.25">
      <c r="B139" s="30" t="s">
        <v>144</v>
      </c>
      <c r="C139" s="2">
        <v>1</v>
      </c>
      <c r="E139" s="10"/>
    </row>
    <row r="140" spans="2:5" x14ac:dyDescent="0.25">
      <c r="B140" s="30" t="s">
        <v>145</v>
      </c>
      <c r="C140" s="2">
        <v>2</v>
      </c>
      <c r="E140" s="10"/>
    </row>
    <row r="141" spans="2:5" x14ac:dyDescent="0.25">
      <c r="B141" s="30" t="s">
        <v>146</v>
      </c>
      <c r="C141" s="2">
        <v>6</v>
      </c>
      <c r="E141" s="10"/>
    </row>
    <row r="142" spans="2:5" x14ac:dyDescent="0.25">
      <c r="B142" s="30" t="s">
        <v>147</v>
      </c>
      <c r="C142" s="2">
        <v>1</v>
      </c>
      <c r="E142" s="10"/>
    </row>
    <row r="143" spans="2:5" x14ac:dyDescent="0.25">
      <c r="B143" s="30" t="s">
        <v>148</v>
      </c>
      <c r="C143" s="2">
        <v>2</v>
      </c>
      <c r="E143" s="10"/>
    </row>
    <row r="144" spans="2:5" x14ac:dyDescent="0.25">
      <c r="B144" s="30" t="s">
        <v>149</v>
      </c>
      <c r="C144" s="2">
        <v>6</v>
      </c>
      <c r="E144" s="10"/>
    </row>
    <row r="145" spans="2:5" x14ac:dyDescent="0.25">
      <c r="B145" s="30" t="s">
        <v>150</v>
      </c>
      <c r="C145" s="2">
        <v>2</v>
      </c>
      <c r="E145" s="10"/>
    </row>
    <row r="146" spans="2:5" x14ac:dyDescent="0.25">
      <c r="B146" s="30" t="s">
        <v>151</v>
      </c>
      <c r="C146" s="2">
        <v>6</v>
      </c>
      <c r="E146" s="10"/>
    </row>
    <row r="147" spans="2:5" x14ac:dyDescent="0.25">
      <c r="B147" s="30" t="s">
        <v>152</v>
      </c>
      <c r="C147" s="2">
        <v>1</v>
      </c>
      <c r="E147" s="10"/>
    </row>
    <row r="148" spans="2:5" x14ac:dyDescent="0.25">
      <c r="B148" s="30" t="s">
        <v>153</v>
      </c>
      <c r="C148" s="2">
        <v>2</v>
      </c>
      <c r="E148" s="10"/>
    </row>
    <row r="149" spans="2:5" x14ac:dyDescent="0.25">
      <c r="B149" s="30" t="s">
        <v>154</v>
      </c>
      <c r="C149" s="2">
        <v>6</v>
      </c>
      <c r="E149" s="10"/>
    </row>
    <row r="150" spans="2:5" x14ac:dyDescent="0.25">
      <c r="B150" s="30" t="s">
        <v>155</v>
      </c>
      <c r="C150" s="2">
        <v>1</v>
      </c>
      <c r="E150" s="10"/>
    </row>
    <row r="151" spans="2:5" x14ac:dyDescent="0.25">
      <c r="B151" s="30" t="s">
        <v>156</v>
      </c>
      <c r="C151" s="2">
        <v>1</v>
      </c>
      <c r="E151" s="10"/>
    </row>
    <row r="152" spans="2:5" x14ac:dyDescent="0.25">
      <c r="B152" s="30" t="s">
        <v>157</v>
      </c>
      <c r="C152" s="2">
        <v>2</v>
      </c>
      <c r="E152" s="10"/>
    </row>
    <row r="153" spans="2:5" x14ac:dyDescent="0.25">
      <c r="B153" s="30" t="s">
        <v>158</v>
      </c>
      <c r="C153" s="2">
        <v>6</v>
      </c>
    </row>
    <row r="154" spans="2:5" x14ac:dyDescent="0.25">
      <c r="B154" s="30" t="s">
        <v>159</v>
      </c>
      <c r="C154" s="2">
        <v>1</v>
      </c>
    </row>
    <row r="155" spans="2:5" x14ac:dyDescent="0.25">
      <c r="B155" s="30" t="s">
        <v>160</v>
      </c>
      <c r="C155" s="2">
        <v>2</v>
      </c>
    </row>
    <row r="156" spans="2:5" x14ac:dyDescent="0.25">
      <c r="B156" s="30" t="s">
        <v>161</v>
      </c>
      <c r="C156" s="2">
        <v>6</v>
      </c>
    </row>
    <row r="157" spans="2:5" x14ac:dyDescent="0.25">
      <c r="B157" s="30" t="s">
        <v>162</v>
      </c>
      <c r="C157" s="2">
        <v>1</v>
      </c>
    </row>
    <row r="158" spans="2:5" x14ac:dyDescent="0.25">
      <c r="B158" s="30" t="s">
        <v>163</v>
      </c>
      <c r="C158" s="2">
        <v>2</v>
      </c>
    </row>
    <row r="159" spans="2:5" x14ac:dyDescent="0.25">
      <c r="B159" t="s">
        <v>164</v>
      </c>
      <c r="C159" s="64">
        <v>6</v>
      </c>
    </row>
    <row r="160" spans="2:5" x14ac:dyDescent="0.25">
      <c r="B160" t="s">
        <v>165</v>
      </c>
      <c r="C160" s="64">
        <v>1</v>
      </c>
    </row>
    <row r="161" spans="2:3" x14ac:dyDescent="0.25">
      <c r="B161" t="s">
        <v>166</v>
      </c>
      <c r="C161" s="64">
        <v>2</v>
      </c>
    </row>
    <row r="162" spans="2:3" x14ac:dyDescent="0.25">
      <c r="B162" t="s">
        <v>167</v>
      </c>
      <c r="C162" s="64">
        <v>6</v>
      </c>
    </row>
    <row r="163" spans="2:3" x14ac:dyDescent="0.25">
      <c r="B163" t="s">
        <v>220</v>
      </c>
      <c r="C163" s="64">
        <v>1</v>
      </c>
    </row>
    <row r="164" spans="2:3" x14ac:dyDescent="0.25">
      <c r="B164" t="s">
        <v>534</v>
      </c>
      <c r="C164" s="64">
        <v>3</v>
      </c>
    </row>
    <row r="165" spans="2:3" x14ac:dyDescent="0.25">
      <c r="B165" t="s">
        <v>535</v>
      </c>
      <c r="C165" s="64">
        <v>2</v>
      </c>
    </row>
    <row r="166" spans="2:3" x14ac:dyDescent="0.25">
      <c r="B166" t="s">
        <v>221</v>
      </c>
      <c r="C166" s="64">
        <v>2</v>
      </c>
    </row>
    <row r="167" spans="2:3" x14ac:dyDescent="0.25">
      <c r="B167" t="s">
        <v>222</v>
      </c>
      <c r="C167" s="64">
        <v>6</v>
      </c>
    </row>
    <row r="168" spans="2:3" x14ac:dyDescent="0.25">
      <c r="B168" t="s">
        <v>223</v>
      </c>
      <c r="C168" s="64">
        <v>1</v>
      </c>
    </row>
    <row r="169" spans="2:3" x14ac:dyDescent="0.25">
      <c r="B169" t="s">
        <v>224</v>
      </c>
      <c r="C169" s="64">
        <v>2</v>
      </c>
    </row>
    <row r="170" spans="2:3" x14ac:dyDescent="0.25">
      <c r="B170" t="s">
        <v>225</v>
      </c>
      <c r="C170" s="64">
        <v>6</v>
      </c>
    </row>
    <row r="171" spans="2:3" x14ac:dyDescent="0.25">
      <c r="B171" t="s">
        <v>226</v>
      </c>
      <c r="C171" s="64">
        <v>1</v>
      </c>
    </row>
    <row r="172" spans="2:3" x14ac:dyDescent="0.25">
      <c r="B172" t="s">
        <v>227</v>
      </c>
      <c r="C172" s="64">
        <v>2</v>
      </c>
    </row>
    <row r="173" spans="2:3" x14ac:dyDescent="0.25">
      <c r="B173" t="s">
        <v>228</v>
      </c>
      <c r="C173" s="64">
        <v>6</v>
      </c>
    </row>
    <row r="174" spans="2:3" x14ac:dyDescent="0.25">
      <c r="B174" t="s">
        <v>229</v>
      </c>
      <c r="C174" s="64">
        <v>1</v>
      </c>
    </row>
    <row r="175" spans="2:3" x14ac:dyDescent="0.25">
      <c r="B175" t="s">
        <v>230</v>
      </c>
      <c r="C175" s="64">
        <v>2</v>
      </c>
    </row>
    <row r="176" spans="2:3" x14ac:dyDescent="0.25">
      <c r="B176" t="s">
        <v>231</v>
      </c>
      <c r="C176" s="64">
        <v>6</v>
      </c>
    </row>
    <row r="177" spans="2:3" x14ac:dyDescent="0.25">
      <c r="B177" t="s">
        <v>232</v>
      </c>
      <c r="C177" s="64">
        <v>1</v>
      </c>
    </row>
    <row r="178" spans="2:3" x14ac:dyDescent="0.25">
      <c r="B178" t="s">
        <v>233</v>
      </c>
      <c r="C178" s="64">
        <v>2</v>
      </c>
    </row>
    <row r="179" spans="2:3" x14ac:dyDescent="0.25">
      <c r="B179" t="s">
        <v>234</v>
      </c>
      <c r="C179" s="64">
        <v>6</v>
      </c>
    </row>
    <row r="180" spans="2:3" x14ac:dyDescent="0.25">
      <c r="B180" t="s">
        <v>536</v>
      </c>
      <c r="C180" s="64">
        <v>1</v>
      </c>
    </row>
    <row r="181" spans="2:3" x14ac:dyDescent="0.25">
      <c r="B181" t="s">
        <v>537</v>
      </c>
      <c r="C181" s="64">
        <v>2</v>
      </c>
    </row>
    <row r="182" spans="2:3" x14ac:dyDescent="0.25">
      <c r="B182" t="s">
        <v>538</v>
      </c>
      <c r="C182" s="64">
        <v>1</v>
      </c>
    </row>
    <row r="183" spans="2:3" x14ac:dyDescent="0.25">
      <c r="B183" t="s">
        <v>539</v>
      </c>
      <c r="C183" s="64">
        <v>2</v>
      </c>
    </row>
    <row r="184" spans="2:3" x14ac:dyDescent="0.25">
      <c r="B184" t="s">
        <v>540</v>
      </c>
      <c r="C184" s="64">
        <v>6</v>
      </c>
    </row>
    <row r="185" spans="2:3" x14ac:dyDescent="0.25">
      <c r="B185" t="s">
        <v>541</v>
      </c>
      <c r="C185" s="64">
        <v>1</v>
      </c>
    </row>
    <row r="186" spans="2:3" x14ac:dyDescent="0.25">
      <c r="B186" t="s">
        <v>542</v>
      </c>
      <c r="C186" s="64">
        <v>2</v>
      </c>
    </row>
    <row r="187" spans="2:3" x14ac:dyDescent="0.25">
      <c r="B187" t="s">
        <v>543</v>
      </c>
      <c r="C187" s="64">
        <v>6</v>
      </c>
    </row>
    <row r="188" spans="2:3" x14ac:dyDescent="0.25">
      <c r="B188" t="s">
        <v>544</v>
      </c>
      <c r="C188" s="64">
        <v>1</v>
      </c>
    </row>
    <row r="189" spans="2:3" x14ac:dyDescent="0.25">
      <c r="B189" t="s">
        <v>545</v>
      </c>
      <c r="C189" s="64">
        <v>2</v>
      </c>
    </row>
    <row r="190" spans="2:3" x14ac:dyDescent="0.25">
      <c r="B190" t="s">
        <v>546</v>
      </c>
      <c r="C190" s="64">
        <v>6</v>
      </c>
    </row>
    <row r="191" spans="2:3" x14ac:dyDescent="0.25">
      <c r="B191" t="s">
        <v>547</v>
      </c>
      <c r="C191" s="64">
        <v>4</v>
      </c>
    </row>
    <row r="192" spans="2:3" x14ac:dyDescent="0.25">
      <c r="B192" t="s">
        <v>548</v>
      </c>
      <c r="C192" s="64">
        <v>4</v>
      </c>
    </row>
    <row r="193" spans="2:3" x14ac:dyDescent="0.25">
      <c r="B193" t="s">
        <v>549</v>
      </c>
      <c r="C193" s="64">
        <v>4</v>
      </c>
    </row>
    <row r="194" spans="2:3" x14ac:dyDescent="0.25">
      <c r="B194" t="s">
        <v>550</v>
      </c>
      <c r="C194" s="64">
        <v>4</v>
      </c>
    </row>
    <row r="195" spans="2:3" x14ac:dyDescent="0.25">
      <c r="B195" t="s">
        <v>551</v>
      </c>
      <c r="C195" s="64">
        <v>4</v>
      </c>
    </row>
    <row r="196" spans="2:3" x14ac:dyDescent="0.25">
      <c r="B196" t="s">
        <v>552</v>
      </c>
      <c r="C196" s="64">
        <v>4</v>
      </c>
    </row>
    <row r="197" spans="2:3" x14ac:dyDescent="0.25">
      <c r="B197" t="s">
        <v>553</v>
      </c>
      <c r="C197" s="64">
        <v>4</v>
      </c>
    </row>
    <row r="198" spans="2:3" x14ac:dyDescent="0.25">
      <c r="B198" t="s">
        <v>554</v>
      </c>
      <c r="C198" s="64">
        <v>4</v>
      </c>
    </row>
    <row r="199" spans="2:3" x14ac:dyDescent="0.25">
      <c r="B199" t="s">
        <v>555</v>
      </c>
      <c r="C199" s="64">
        <v>4</v>
      </c>
    </row>
    <row r="200" spans="2:3" x14ac:dyDescent="0.25">
      <c r="B200" t="s">
        <v>556</v>
      </c>
      <c r="C200" s="64">
        <v>4</v>
      </c>
    </row>
    <row r="201" spans="2:3" x14ac:dyDescent="0.25">
      <c r="B201" t="s">
        <v>557</v>
      </c>
      <c r="C201" s="64">
        <v>4</v>
      </c>
    </row>
    <row r="202" spans="2:3" x14ac:dyDescent="0.25">
      <c r="B202" t="s">
        <v>558</v>
      </c>
      <c r="C202" s="64">
        <v>4</v>
      </c>
    </row>
    <row r="203" spans="2:3" x14ac:dyDescent="0.25">
      <c r="B203" t="s">
        <v>559</v>
      </c>
      <c r="C203" s="64">
        <v>4</v>
      </c>
    </row>
    <row r="204" spans="2:3" x14ac:dyDescent="0.25">
      <c r="B204" t="s">
        <v>560</v>
      </c>
      <c r="C204" s="64">
        <v>4</v>
      </c>
    </row>
    <row r="205" spans="2:3" x14ac:dyDescent="0.25">
      <c r="B205" t="s">
        <v>561</v>
      </c>
      <c r="C205" s="64">
        <v>4</v>
      </c>
    </row>
    <row r="206" spans="2:3" x14ac:dyDescent="0.25">
      <c r="B206" t="s">
        <v>562</v>
      </c>
      <c r="C206" s="64">
        <v>4</v>
      </c>
    </row>
    <row r="207" spans="2:3" x14ac:dyDescent="0.25">
      <c r="B207" t="s">
        <v>563</v>
      </c>
      <c r="C207" s="64">
        <v>4</v>
      </c>
    </row>
    <row r="208" spans="2:3" x14ac:dyDescent="0.25">
      <c r="B208" t="s">
        <v>564</v>
      </c>
      <c r="C208" s="64">
        <v>4</v>
      </c>
    </row>
    <row r="209" spans="2:3" x14ac:dyDescent="0.25">
      <c r="B209" t="s">
        <v>565</v>
      </c>
      <c r="C209" s="64">
        <v>4</v>
      </c>
    </row>
    <row r="210" spans="2:3" x14ac:dyDescent="0.25">
      <c r="B210" t="s">
        <v>566</v>
      </c>
      <c r="C210" s="64">
        <v>4</v>
      </c>
    </row>
    <row r="211" spans="2:3" x14ac:dyDescent="0.25">
      <c r="B211" t="s">
        <v>567</v>
      </c>
      <c r="C211" s="64">
        <v>4</v>
      </c>
    </row>
    <row r="212" spans="2:3" x14ac:dyDescent="0.25">
      <c r="B212" t="s">
        <v>568</v>
      </c>
      <c r="C212" s="64">
        <v>4</v>
      </c>
    </row>
    <row r="213" spans="2:3" x14ac:dyDescent="0.25">
      <c r="B213" t="s">
        <v>569</v>
      </c>
      <c r="C213" s="64">
        <v>4</v>
      </c>
    </row>
    <row r="214" spans="2:3" x14ac:dyDescent="0.25">
      <c r="B214" t="s">
        <v>570</v>
      </c>
      <c r="C214" s="64">
        <v>4</v>
      </c>
    </row>
    <row r="215" spans="2:3" x14ac:dyDescent="0.25">
      <c r="B215" t="s">
        <v>571</v>
      </c>
      <c r="C215" s="64">
        <v>4</v>
      </c>
    </row>
    <row r="216" spans="2:3" x14ac:dyDescent="0.25">
      <c r="B216" t="s">
        <v>572</v>
      </c>
      <c r="C216" s="64">
        <v>4</v>
      </c>
    </row>
    <row r="217" spans="2:3" x14ac:dyDescent="0.25">
      <c r="B217" t="s">
        <v>573</v>
      </c>
      <c r="C217" s="64">
        <v>4</v>
      </c>
    </row>
    <row r="218" spans="2:3" x14ac:dyDescent="0.25">
      <c r="B218" t="s">
        <v>574</v>
      </c>
      <c r="C218" s="64">
        <v>4</v>
      </c>
    </row>
    <row r="219" spans="2:3" x14ac:dyDescent="0.25">
      <c r="B219" t="s">
        <v>575</v>
      </c>
      <c r="C219" s="64">
        <v>4</v>
      </c>
    </row>
    <row r="220" spans="2:3" x14ac:dyDescent="0.25">
      <c r="B220" t="s">
        <v>576</v>
      </c>
      <c r="C220" s="64">
        <v>1</v>
      </c>
    </row>
    <row r="221" spans="2:3" x14ac:dyDescent="0.25">
      <c r="B221" t="s">
        <v>503</v>
      </c>
      <c r="C221" s="64">
        <v>2</v>
      </c>
    </row>
    <row r="222" spans="2:3" x14ac:dyDescent="0.25">
      <c r="B222" t="s">
        <v>577</v>
      </c>
      <c r="C222" s="64">
        <v>6</v>
      </c>
    </row>
    <row r="223" spans="2:3" x14ac:dyDescent="0.25">
      <c r="B223" t="s">
        <v>578</v>
      </c>
      <c r="C223" s="64">
        <v>1</v>
      </c>
    </row>
    <row r="224" spans="2:3" x14ac:dyDescent="0.25">
      <c r="B224" t="s">
        <v>579</v>
      </c>
      <c r="C224" s="64">
        <v>2</v>
      </c>
    </row>
    <row r="225" spans="2:3" x14ac:dyDescent="0.25">
      <c r="B225" t="s">
        <v>580</v>
      </c>
      <c r="C225" s="64">
        <v>6</v>
      </c>
    </row>
    <row r="226" spans="2:3" x14ac:dyDescent="0.25">
      <c r="B226" t="s">
        <v>581</v>
      </c>
      <c r="C226" s="64">
        <v>3</v>
      </c>
    </row>
    <row r="227" spans="2:3" x14ac:dyDescent="0.25">
      <c r="B227" t="s">
        <v>582</v>
      </c>
      <c r="C227" s="64">
        <v>1</v>
      </c>
    </row>
    <row r="228" spans="2:3" x14ac:dyDescent="0.25">
      <c r="B228" t="s">
        <v>583</v>
      </c>
      <c r="C228" s="64">
        <v>2</v>
      </c>
    </row>
    <row r="229" spans="2:3" x14ac:dyDescent="0.25">
      <c r="B229" t="s">
        <v>584</v>
      </c>
      <c r="C229" s="64">
        <v>6</v>
      </c>
    </row>
    <row r="230" spans="2:3" x14ac:dyDescent="0.25">
      <c r="B230" t="s">
        <v>585</v>
      </c>
      <c r="C230" s="64">
        <v>1</v>
      </c>
    </row>
    <row r="231" spans="2:3" x14ac:dyDescent="0.25">
      <c r="B231" t="s">
        <v>586</v>
      </c>
      <c r="C231" s="64">
        <v>2</v>
      </c>
    </row>
    <row r="232" spans="2:3" x14ac:dyDescent="0.25">
      <c r="B232" t="s">
        <v>587</v>
      </c>
      <c r="C232" s="64">
        <v>6</v>
      </c>
    </row>
    <row r="233" spans="2:3" x14ac:dyDescent="0.25">
      <c r="B233" t="s">
        <v>588</v>
      </c>
      <c r="C233" s="64">
        <v>1</v>
      </c>
    </row>
    <row r="234" spans="2:3" x14ac:dyDescent="0.25">
      <c r="B234" t="s">
        <v>589</v>
      </c>
      <c r="C234" s="64">
        <v>2</v>
      </c>
    </row>
    <row r="235" spans="2:3" x14ac:dyDescent="0.25">
      <c r="B235" t="s">
        <v>590</v>
      </c>
      <c r="C235" s="64">
        <v>6</v>
      </c>
    </row>
    <row r="236" spans="2:3" x14ac:dyDescent="0.25">
      <c r="B236" t="s">
        <v>591</v>
      </c>
      <c r="C236" s="64">
        <v>1</v>
      </c>
    </row>
    <row r="237" spans="2:3" x14ac:dyDescent="0.25">
      <c r="B237" t="s">
        <v>592</v>
      </c>
      <c r="C237" s="64">
        <v>2</v>
      </c>
    </row>
    <row r="238" spans="2:3" x14ac:dyDescent="0.25">
      <c r="B238" t="s">
        <v>593</v>
      </c>
      <c r="C238" s="64">
        <v>6</v>
      </c>
    </row>
    <row r="239" spans="2:3" x14ac:dyDescent="0.25">
      <c r="B239" t="s">
        <v>594</v>
      </c>
      <c r="C239" s="64">
        <v>1</v>
      </c>
    </row>
    <row r="240" spans="2:3" x14ac:dyDescent="0.25">
      <c r="B240" t="s">
        <v>595</v>
      </c>
      <c r="C240" s="64">
        <v>2</v>
      </c>
    </row>
    <row r="241" spans="2:3" x14ac:dyDescent="0.25">
      <c r="B241" t="s">
        <v>596</v>
      </c>
      <c r="C241" s="64">
        <v>6</v>
      </c>
    </row>
    <row r="242" spans="2:3" x14ac:dyDescent="0.25">
      <c r="B242" t="s">
        <v>597</v>
      </c>
      <c r="C242" s="64">
        <v>1</v>
      </c>
    </row>
    <row r="243" spans="2:3" x14ac:dyDescent="0.25">
      <c r="B243" t="s">
        <v>598</v>
      </c>
      <c r="C243" s="64">
        <v>2</v>
      </c>
    </row>
    <row r="244" spans="2:3" x14ac:dyDescent="0.25">
      <c r="B244" t="s">
        <v>599</v>
      </c>
      <c r="C244" s="64">
        <v>6</v>
      </c>
    </row>
    <row r="245" spans="2:3" x14ac:dyDescent="0.25">
      <c r="B245" t="s">
        <v>600</v>
      </c>
      <c r="C245" s="64">
        <v>1</v>
      </c>
    </row>
    <row r="246" spans="2:3" x14ac:dyDescent="0.25">
      <c r="B246" t="s">
        <v>601</v>
      </c>
      <c r="C246" s="64">
        <v>2</v>
      </c>
    </row>
    <row r="247" spans="2:3" x14ac:dyDescent="0.25">
      <c r="B247" t="s">
        <v>602</v>
      </c>
      <c r="C247" s="64">
        <v>6</v>
      </c>
    </row>
    <row r="248" spans="2:3" x14ac:dyDescent="0.25">
      <c r="B248" t="s">
        <v>603</v>
      </c>
      <c r="C248" s="64">
        <v>1</v>
      </c>
    </row>
    <row r="249" spans="2:3" x14ac:dyDescent="0.25">
      <c r="B249" t="s">
        <v>604</v>
      </c>
      <c r="C249" s="64">
        <v>2</v>
      </c>
    </row>
    <row r="250" spans="2:3" x14ac:dyDescent="0.25">
      <c r="B250" t="s">
        <v>605</v>
      </c>
      <c r="C250" s="64">
        <v>6</v>
      </c>
    </row>
    <row r="251" spans="2:3" x14ac:dyDescent="0.25">
      <c r="B251" t="s">
        <v>606</v>
      </c>
      <c r="C251" s="64">
        <v>1</v>
      </c>
    </row>
    <row r="252" spans="2:3" x14ac:dyDescent="0.25">
      <c r="B252" t="s">
        <v>607</v>
      </c>
      <c r="C252" s="64">
        <v>2</v>
      </c>
    </row>
    <row r="253" spans="2:3" x14ac:dyDescent="0.25">
      <c r="B253" t="s">
        <v>608</v>
      </c>
      <c r="C253" s="64">
        <v>6</v>
      </c>
    </row>
    <row r="254" spans="2:3" x14ac:dyDescent="0.25">
      <c r="B254" t="s">
        <v>609</v>
      </c>
      <c r="C254" s="64">
        <v>4</v>
      </c>
    </row>
    <row r="255" spans="2:3" x14ac:dyDescent="0.25">
      <c r="B255" t="s">
        <v>610</v>
      </c>
      <c r="C255" s="64">
        <v>2</v>
      </c>
    </row>
    <row r="256" spans="2:3" x14ac:dyDescent="0.25">
      <c r="B256" t="s">
        <v>611</v>
      </c>
      <c r="C256" s="64">
        <v>3</v>
      </c>
    </row>
    <row r="257" spans="2:3" x14ac:dyDescent="0.25">
      <c r="B257" t="s">
        <v>612</v>
      </c>
      <c r="C257" s="64">
        <v>1</v>
      </c>
    </row>
    <row r="258" spans="2:3" x14ac:dyDescent="0.25">
      <c r="B258" t="s">
        <v>613</v>
      </c>
      <c r="C258" s="64">
        <v>2</v>
      </c>
    </row>
    <row r="259" spans="2:3" x14ac:dyDescent="0.25">
      <c r="B259" t="s">
        <v>614</v>
      </c>
      <c r="C259" s="64">
        <v>6</v>
      </c>
    </row>
    <row r="260" spans="2:3" x14ac:dyDescent="0.25">
      <c r="B260" t="s">
        <v>615</v>
      </c>
      <c r="C260" s="64">
        <v>1</v>
      </c>
    </row>
    <row r="261" spans="2:3" x14ac:dyDescent="0.25">
      <c r="B261" t="s">
        <v>616</v>
      </c>
      <c r="C261" s="64">
        <v>2</v>
      </c>
    </row>
    <row r="262" spans="2:3" x14ac:dyDescent="0.25">
      <c r="B262" t="s">
        <v>617</v>
      </c>
      <c r="C262" s="64">
        <v>6</v>
      </c>
    </row>
    <row r="263" spans="2:3" x14ac:dyDescent="0.25">
      <c r="B263" t="s">
        <v>618</v>
      </c>
      <c r="C263" s="64">
        <v>1</v>
      </c>
    </row>
    <row r="264" spans="2:3" x14ac:dyDescent="0.25">
      <c r="B264" t="s">
        <v>619</v>
      </c>
      <c r="C264" s="64">
        <v>2</v>
      </c>
    </row>
    <row r="265" spans="2:3" x14ac:dyDescent="0.25">
      <c r="B265" t="s">
        <v>620</v>
      </c>
      <c r="C265" s="64">
        <v>6</v>
      </c>
    </row>
    <row r="266" spans="2:3" x14ac:dyDescent="0.25">
      <c r="B266" t="s">
        <v>621</v>
      </c>
      <c r="C266" s="64">
        <v>4</v>
      </c>
    </row>
    <row r="267" spans="2:3" x14ac:dyDescent="0.25">
      <c r="B267" t="s">
        <v>622</v>
      </c>
      <c r="C267" s="64">
        <v>1</v>
      </c>
    </row>
    <row r="268" spans="2:3" x14ac:dyDescent="0.25">
      <c r="B268" t="s">
        <v>623</v>
      </c>
      <c r="C268" s="64">
        <v>2</v>
      </c>
    </row>
    <row r="269" spans="2:3" x14ac:dyDescent="0.25">
      <c r="B269" t="s">
        <v>624</v>
      </c>
      <c r="C269" s="64">
        <v>6</v>
      </c>
    </row>
    <row r="270" spans="2:3" x14ac:dyDescent="0.25">
      <c r="B270" t="s">
        <v>625</v>
      </c>
      <c r="C270" s="64">
        <v>1</v>
      </c>
    </row>
    <row r="271" spans="2:3" x14ac:dyDescent="0.25">
      <c r="B271" t="s">
        <v>626</v>
      </c>
      <c r="C271" s="64">
        <v>2</v>
      </c>
    </row>
    <row r="272" spans="2:3" x14ac:dyDescent="0.25">
      <c r="B272" t="s">
        <v>627</v>
      </c>
      <c r="C272" s="64">
        <v>6</v>
      </c>
    </row>
    <row r="273" spans="2:3" x14ac:dyDescent="0.25">
      <c r="B273" t="s">
        <v>628</v>
      </c>
      <c r="C273" s="64">
        <v>1</v>
      </c>
    </row>
    <row r="274" spans="2:3" x14ac:dyDescent="0.25">
      <c r="B274" t="s">
        <v>629</v>
      </c>
      <c r="C274" s="64">
        <v>2</v>
      </c>
    </row>
    <row r="275" spans="2:3" x14ac:dyDescent="0.25">
      <c r="B275" t="s">
        <v>630</v>
      </c>
      <c r="C275" s="64">
        <v>6</v>
      </c>
    </row>
    <row r="276" spans="2:3" x14ac:dyDescent="0.25">
      <c r="B276" t="s">
        <v>631</v>
      </c>
      <c r="C276" s="64">
        <v>4</v>
      </c>
    </row>
    <row r="277" spans="2:3" x14ac:dyDescent="0.25">
      <c r="B277" t="s">
        <v>632</v>
      </c>
      <c r="C277" s="64">
        <v>3</v>
      </c>
    </row>
    <row r="278" spans="2:3" x14ac:dyDescent="0.25">
      <c r="B278" t="s">
        <v>633</v>
      </c>
      <c r="C278" s="64">
        <v>2</v>
      </c>
    </row>
    <row r="279" spans="2:3" x14ac:dyDescent="0.25">
      <c r="B279" t="s">
        <v>634</v>
      </c>
      <c r="C279" s="64">
        <v>4</v>
      </c>
    </row>
    <row r="280" spans="2:3" x14ac:dyDescent="0.25">
      <c r="B280" t="s">
        <v>635</v>
      </c>
      <c r="C280" s="64">
        <v>1</v>
      </c>
    </row>
    <row r="281" spans="2:3" x14ac:dyDescent="0.25">
      <c r="B281" t="s">
        <v>636</v>
      </c>
      <c r="C281" s="64">
        <v>2</v>
      </c>
    </row>
    <row r="282" spans="2:3" x14ac:dyDescent="0.25">
      <c r="B282" t="s">
        <v>637</v>
      </c>
      <c r="C282" s="64">
        <v>6</v>
      </c>
    </row>
    <row r="283" spans="2:3" x14ac:dyDescent="0.25">
      <c r="B283" t="s">
        <v>638</v>
      </c>
      <c r="C283" s="64">
        <v>1</v>
      </c>
    </row>
    <row r="284" spans="2:3" x14ac:dyDescent="0.25">
      <c r="B284" t="s">
        <v>639</v>
      </c>
      <c r="C284" s="64">
        <v>2</v>
      </c>
    </row>
    <row r="285" spans="2:3" x14ac:dyDescent="0.25">
      <c r="B285" t="s">
        <v>640</v>
      </c>
      <c r="C285" s="64">
        <v>6</v>
      </c>
    </row>
    <row r="286" spans="2:3" x14ac:dyDescent="0.25">
      <c r="B286" t="s">
        <v>641</v>
      </c>
      <c r="C286" s="64">
        <v>1</v>
      </c>
    </row>
    <row r="287" spans="2:3" x14ac:dyDescent="0.25">
      <c r="B287" t="s">
        <v>642</v>
      </c>
      <c r="C287" s="64">
        <v>2</v>
      </c>
    </row>
    <row r="288" spans="2:3" x14ac:dyDescent="0.25">
      <c r="B288" t="s">
        <v>643</v>
      </c>
      <c r="C288" s="64">
        <v>6</v>
      </c>
    </row>
    <row r="289" spans="2:3" x14ac:dyDescent="0.25">
      <c r="B289" t="s">
        <v>644</v>
      </c>
      <c r="C289" s="64">
        <v>4</v>
      </c>
    </row>
    <row r="290" spans="2:3" x14ac:dyDescent="0.25">
      <c r="B290" t="s">
        <v>645</v>
      </c>
      <c r="C290" s="64">
        <v>1</v>
      </c>
    </row>
    <row r="291" spans="2:3" x14ac:dyDescent="0.25">
      <c r="B291" t="s">
        <v>646</v>
      </c>
      <c r="C291" s="64">
        <v>2</v>
      </c>
    </row>
    <row r="292" spans="2:3" x14ac:dyDescent="0.25">
      <c r="B292" t="s">
        <v>647</v>
      </c>
      <c r="C292" s="64">
        <v>6</v>
      </c>
    </row>
    <row r="293" spans="2:3" x14ac:dyDescent="0.25">
      <c r="B293" t="s">
        <v>648</v>
      </c>
      <c r="C293" s="64">
        <v>1</v>
      </c>
    </row>
    <row r="294" spans="2:3" x14ac:dyDescent="0.25">
      <c r="B294" t="s">
        <v>649</v>
      </c>
      <c r="C294" s="64">
        <v>2</v>
      </c>
    </row>
    <row r="295" spans="2:3" x14ac:dyDescent="0.25">
      <c r="B295" t="s">
        <v>650</v>
      </c>
      <c r="C295" s="64">
        <v>6</v>
      </c>
    </row>
    <row r="296" spans="2:3" x14ac:dyDescent="0.25">
      <c r="B296" t="s">
        <v>651</v>
      </c>
      <c r="C296" s="64">
        <v>1</v>
      </c>
    </row>
    <row r="297" spans="2:3" x14ac:dyDescent="0.25">
      <c r="B297" t="s">
        <v>652</v>
      </c>
      <c r="C297" s="64">
        <v>2</v>
      </c>
    </row>
    <row r="298" spans="2:3" x14ac:dyDescent="0.25">
      <c r="B298" t="s">
        <v>653</v>
      </c>
      <c r="C298" s="64">
        <v>6</v>
      </c>
    </row>
    <row r="299" spans="2:3" x14ac:dyDescent="0.25">
      <c r="B299" t="s">
        <v>654</v>
      </c>
      <c r="C299" s="64">
        <v>4</v>
      </c>
    </row>
    <row r="300" spans="2:3" x14ac:dyDescent="0.25">
      <c r="B300" t="s">
        <v>655</v>
      </c>
      <c r="C300" s="64">
        <v>1</v>
      </c>
    </row>
    <row r="301" spans="2:3" x14ac:dyDescent="0.25">
      <c r="B301" t="s">
        <v>656</v>
      </c>
      <c r="C301" s="64">
        <v>2</v>
      </c>
    </row>
    <row r="302" spans="2:3" x14ac:dyDescent="0.25">
      <c r="B302" t="s">
        <v>657</v>
      </c>
      <c r="C302" s="64">
        <v>6</v>
      </c>
    </row>
    <row r="303" spans="2:3" x14ac:dyDescent="0.25">
      <c r="B303" t="s">
        <v>658</v>
      </c>
      <c r="C303" s="64">
        <v>1</v>
      </c>
    </row>
    <row r="304" spans="2:3" x14ac:dyDescent="0.25">
      <c r="B304" t="s">
        <v>659</v>
      </c>
      <c r="C304" s="64">
        <v>2</v>
      </c>
    </row>
    <row r="305" spans="2:3" x14ac:dyDescent="0.25">
      <c r="B305" t="s">
        <v>660</v>
      </c>
      <c r="C305" s="64">
        <v>6</v>
      </c>
    </row>
    <row r="306" spans="2:3" x14ac:dyDescent="0.25">
      <c r="B306" t="s">
        <v>661</v>
      </c>
      <c r="C306" s="64">
        <v>4</v>
      </c>
    </row>
    <row r="307" spans="2:3" x14ac:dyDescent="0.25">
      <c r="B307" t="s">
        <v>662</v>
      </c>
      <c r="C307" s="64">
        <v>1</v>
      </c>
    </row>
    <row r="308" spans="2:3" x14ac:dyDescent="0.25">
      <c r="B308" t="s">
        <v>663</v>
      </c>
      <c r="C308" s="64">
        <v>2</v>
      </c>
    </row>
    <row r="309" spans="2:3" x14ac:dyDescent="0.25">
      <c r="B309" t="s">
        <v>664</v>
      </c>
      <c r="C309" s="64">
        <v>6</v>
      </c>
    </row>
    <row r="310" spans="2:3" x14ac:dyDescent="0.25">
      <c r="B310" t="s">
        <v>665</v>
      </c>
      <c r="C310" s="64">
        <v>1</v>
      </c>
    </row>
    <row r="311" spans="2:3" x14ac:dyDescent="0.25">
      <c r="B311" t="s">
        <v>666</v>
      </c>
      <c r="C311" s="64">
        <v>2</v>
      </c>
    </row>
    <row r="312" spans="2:3" x14ac:dyDescent="0.25">
      <c r="B312" t="s">
        <v>667</v>
      </c>
      <c r="C312" s="64">
        <v>6</v>
      </c>
    </row>
    <row r="313" spans="2:3" x14ac:dyDescent="0.25">
      <c r="B313" t="s">
        <v>668</v>
      </c>
      <c r="C313" s="64">
        <v>1</v>
      </c>
    </row>
    <row r="314" spans="2:3" x14ac:dyDescent="0.25">
      <c r="B314" t="s">
        <v>669</v>
      </c>
      <c r="C314" s="64">
        <v>2</v>
      </c>
    </row>
    <row r="315" spans="2:3" x14ac:dyDescent="0.25">
      <c r="B315" t="s">
        <v>670</v>
      </c>
      <c r="C315" s="64">
        <v>6</v>
      </c>
    </row>
    <row r="316" spans="2:3" x14ac:dyDescent="0.25">
      <c r="B316" t="s">
        <v>671</v>
      </c>
      <c r="C316" s="64">
        <v>1</v>
      </c>
    </row>
    <row r="317" spans="2:3" x14ac:dyDescent="0.25">
      <c r="B317" t="s">
        <v>672</v>
      </c>
      <c r="C317" s="64">
        <v>2</v>
      </c>
    </row>
    <row r="318" spans="2:3" x14ac:dyDescent="0.25">
      <c r="B318" t="s">
        <v>673</v>
      </c>
      <c r="C318" s="64">
        <v>2</v>
      </c>
    </row>
    <row r="319" spans="2:3" x14ac:dyDescent="0.25">
      <c r="B319" t="s">
        <v>674</v>
      </c>
      <c r="C319" s="64">
        <v>4</v>
      </c>
    </row>
    <row r="320" spans="2:3" x14ac:dyDescent="0.25">
      <c r="B320" t="s">
        <v>675</v>
      </c>
      <c r="C320" s="64">
        <v>2</v>
      </c>
    </row>
    <row r="321" spans="2:3" x14ac:dyDescent="0.25">
      <c r="B321" t="s">
        <v>676</v>
      </c>
      <c r="C321" s="64">
        <v>2</v>
      </c>
    </row>
    <row r="322" spans="2:3" x14ac:dyDescent="0.25">
      <c r="B322" t="s">
        <v>677</v>
      </c>
      <c r="C322" s="64">
        <v>6</v>
      </c>
    </row>
    <row r="323" spans="2:3" x14ac:dyDescent="0.25">
      <c r="B323" t="s">
        <v>678</v>
      </c>
      <c r="C323" s="64">
        <v>2</v>
      </c>
    </row>
    <row r="324" spans="2:3" x14ac:dyDescent="0.25">
      <c r="B324" t="s">
        <v>679</v>
      </c>
      <c r="C324" s="64">
        <v>3</v>
      </c>
    </row>
    <row r="325" spans="2:3" x14ac:dyDescent="0.25">
      <c r="B325" t="s">
        <v>680</v>
      </c>
      <c r="C325" s="64">
        <v>3</v>
      </c>
    </row>
    <row r="326" spans="2:3" x14ac:dyDescent="0.25">
      <c r="B326" t="s">
        <v>681</v>
      </c>
      <c r="C326" s="64">
        <v>6</v>
      </c>
    </row>
    <row r="327" spans="2:3" x14ac:dyDescent="0.25">
      <c r="B327" t="s">
        <v>682</v>
      </c>
      <c r="C327" s="64">
        <v>6</v>
      </c>
    </row>
    <row r="328" spans="2:3" x14ac:dyDescent="0.25">
      <c r="B328" t="s">
        <v>683</v>
      </c>
      <c r="C328" s="64">
        <v>6</v>
      </c>
    </row>
    <row r="329" spans="2:3" x14ac:dyDescent="0.25">
      <c r="B329" t="s">
        <v>684</v>
      </c>
      <c r="C329" s="64">
        <v>3</v>
      </c>
    </row>
    <row r="330" spans="2:3" x14ac:dyDescent="0.25">
      <c r="B330" t="s">
        <v>685</v>
      </c>
      <c r="C330" s="64">
        <v>3</v>
      </c>
    </row>
    <row r="331" spans="2:3" x14ac:dyDescent="0.25">
      <c r="B331" t="s">
        <v>686</v>
      </c>
      <c r="C331" s="64">
        <v>3</v>
      </c>
    </row>
    <row r="332" spans="2:3" x14ac:dyDescent="0.25">
      <c r="B332" t="s">
        <v>687</v>
      </c>
      <c r="C332" s="64">
        <v>2</v>
      </c>
    </row>
    <row r="333" spans="2:3" x14ac:dyDescent="0.25">
      <c r="B333" t="s">
        <v>688</v>
      </c>
      <c r="C333" s="64">
        <v>3</v>
      </c>
    </row>
  </sheetData>
  <pageMargins left="0.7" right="0.7" top="0.75" bottom="0.75" header="0.3" footer="0.3"/>
  <pageSetup paperSize="9" orientation="portrait" verticalDpi="598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B2:D98"/>
  <sheetViews>
    <sheetView workbookViewId="0"/>
  </sheetViews>
  <sheetFormatPr baseColWidth="10" defaultRowHeight="15" x14ac:dyDescent="0.25"/>
  <cols>
    <col min="2" max="2" width="10.5703125" style="17" bestFit="1" customWidth="1"/>
    <col min="3" max="3" width="23.7109375" style="12" bestFit="1" customWidth="1"/>
    <col min="4" max="4" width="26.140625" style="12" bestFit="1" customWidth="1"/>
  </cols>
  <sheetData>
    <row r="2" spans="2:4" ht="15" customHeight="1" x14ac:dyDescent="0.25">
      <c r="B2" s="47" t="s">
        <v>446</v>
      </c>
      <c r="C2" s="48" t="s">
        <v>327</v>
      </c>
      <c r="D2" s="41" t="s">
        <v>328</v>
      </c>
    </row>
    <row r="3" spans="2:4" x14ac:dyDescent="0.25">
      <c r="B3" s="31" t="s">
        <v>237</v>
      </c>
      <c r="C3" s="37" t="s">
        <v>432</v>
      </c>
      <c r="D3" s="12" t="s">
        <v>433</v>
      </c>
    </row>
    <row r="4" spans="2:4" x14ac:dyDescent="0.25">
      <c r="B4" s="31" t="s">
        <v>238</v>
      </c>
      <c r="C4" s="37" t="s">
        <v>417</v>
      </c>
      <c r="D4" s="12" t="s">
        <v>6</v>
      </c>
    </row>
    <row r="5" spans="2:4" x14ac:dyDescent="0.25">
      <c r="B5" s="31" t="s">
        <v>450</v>
      </c>
      <c r="C5" s="37" t="s">
        <v>338</v>
      </c>
      <c r="D5" s="12" t="s">
        <v>13</v>
      </c>
    </row>
    <row r="6" spans="2:4" x14ac:dyDescent="0.25">
      <c r="B6" s="31" t="s">
        <v>451</v>
      </c>
      <c r="C6" s="37" t="s">
        <v>425</v>
      </c>
      <c r="D6" s="12" t="s">
        <v>426</v>
      </c>
    </row>
    <row r="7" spans="2:4" x14ac:dyDescent="0.25">
      <c r="B7" s="31" t="s">
        <v>452</v>
      </c>
      <c r="C7" s="37" t="s">
        <v>429</v>
      </c>
      <c r="D7" s="12" t="s">
        <v>426</v>
      </c>
    </row>
    <row r="8" spans="2:4" x14ac:dyDescent="0.25">
      <c r="B8" s="31" t="s">
        <v>239</v>
      </c>
      <c r="C8" s="37" t="s">
        <v>427</v>
      </c>
      <c r="D8" s="12" t="s">
        <v>426</v>
      </c>
    </row>
    <row r="9" spans="2:4" x14ac:dyDescent="0.25">
      <c r="B9" s="31" t="s">
        <v>453</v>
      </c>
      <c r="C9" s="37" t="s">
        <v>434</v>
      </c>
      <c r="D9" s="12" t="s">
        <v>433</v>
      </c>
    </row>
    <row r="10" spans="2:4" x14ac:dyDescent="0.25">
      <c r="B10" s="31" t="s">
        <v>454</v>
      </c>
      <c r="C10" s="37" t="s">
        <v>359</v>
      </c>
      <c r="D10" s="12" t="s">
        <v>360</v>
      </c>
    </row>
    <row r="11" spans="2:4" x14ac:dyDescent="0.25">
      <c r="B11" s="31" t="s">
        <v>455</v>
      </c>
      <c r="C11" s="37" t="s">
        <v>399</v>
      </c>
      <c r="D11" s="12" t="s">
        <v>400</v>
      </c>
    </row>
    <row r="12" spans="2:4" x14ac:dyDescent="0.25">
      <c r="B12" s="31">
        <v>10</v>
      </c>
      <c r="C12" s="37" t="s">
        <v>361</v>
      </c>
      <c r="D12" s="12" t="s">
        <v>360</v>
      </c>
    </row>
    <row r="13" spans="2:4" x14ac:dyDescent="0.25">
      <c r="B13" s="31">
        <v>11</v>
      </c>
      <c r="C13" s="37" t="s">
        <v>385</v>
      </c>
      <c r="D13" s="12" t="s">
        <v>386</v>
      </c>
    </row>
    <row r="14" spans="2:4" x14ac:dyDescent="0.25">
      <c r="B14" s="31">
        <v>12</v>
      </c>
      <c r="C14" s="37" t="s">
        <v>401</v>
      </c>
      <c r="D14" s="12" t="s">
        <v>400</v>
      </c>
    </row>
    <row r="15" spans="2:4" x14ac:dyDescent="0.25">
      <c r="B15" s="31">
        <v>13</v>
      </c>
      <c r="C15" s="37" t="s">
        <v>428</v>
      </c>
      <c r="D15" s="12" t="s">
        <v>426</v>
      </c>
    </row>
    <row r="16" spans="2:4" x14ac:dyDescent="0.25">
      <c r="B16" s="31">
        <v>14</v>
      </c>
      <c r="C16" s="37" t="s">
        <v>342</v>
      </c>
      <c r="D16" s="12" t="s">
        <v>343</v>
      </c>
    </row>
    <row r="17" spans="2:4" x14ac:dyDescent="0.25">
      <c r="B17" s="31">
        <v>15</v>
      </c>
      <c r="C17" s="37" t="s">
        <v>339</v>
      </c>
      <c r="D17" s="12" t="s">
        <v>13</v>
      </c>
    </row>
    <row r="18" spans="2:4" x14ac:dyDescent="0.25">
      <c r="B18" s="31">
        <v>16</v>
      </c>
      <c r="C18" s="37" t="s">
        <v>420</v>
      </c>
      <c r="D18" s="12" t="s">
        <v>421</v>
      </c>
    </row>
    <row r="19" spans="2:4" x14ac:dyDescent="0.25">
      <c r="B19" s="31">
        <v>17</v>
      </c>
      <c r="C19" s="37" t="s">
        <v>422</v>
      </c>
      <c r="D19" s="12" t="s">
        <v>421</v>
      </c>
    </row>
    <row r="20" spans="2:4" x14ac:dyDescent="0.25">
      <c r="B20" s="31">
        <v>18</v>
      </c>
      <c r="C20" s="37" t="s">
        <v>353</v>
      </c>
      <c r="D20" s="12" t="s">
        <v>10</v>
      </c>
    </row>
    <row r="21" spans="2:4" x14ac:dyDescent="0.25">
      <c r="B21" s="31">
        <v>19</v>
      </c>
      <c r="C21" s="37" t="s">
        <v>391</v>
      </c>
      <c r="D21" s="12" t="s">
        <v>392</v>
      </c>
    </row>
    <row r="22" spans="2:4" x14ac:dyDescent="0.25">
      <c r="B22" s="31">
        <v>21</v>
      </c>
      <c r="C22" s="37" t="s">
        <v>345</v>
      </c>
      <c r="D22" s="12" t="s">
        <v>11</v>
      </c>
    </row>
    <row r="23" spans="2:4" x14ac:dyDescent="0.25">
      <c r="B23" s="31">
        <v>22</v>
      </c>
      <c r="C23" s="37" t="s">
        <v>349</v>
      </c>
      <c r="D23" s="12" t="s">
        <v>12</v>
      </c>
    </row>
    <row r="24" spans="2:4" x14ac:dyDescent="0.25">
      <c r="B24" s="31">
        <v>23</v>
      </c>
      <c r="C24" s="37" t="s">
        <v>393</v>
      </c>
      <c r="D24" s="12" t="s">
        <v>392</v>
      </c>
    </row>
    <row r="25" spans="2:4" x14ac:dyDescent="0.25">
      <c r="B25" s="31">
        <v>24</v>
      </c>
      <c r="C25" s="37" t="s">
        <v>332</v>
      </c>
      <c r="D25" s="12" t="s">
        <v>333</v>
      </c>
    </row>
    <row r="26" spans="2:4" x14ac:dyDescent="0.25">
      <c r="B26" s="31">
        <v>25</v>
      </c>
      <c r="C26" s="37" t="s">
        <v>369</v>
      </c>
      <c r="D26" s="12" t="s">
        <v>370</v>
      </c>
    </row>
    <row r="27" spans="2:4" x14ac:dyDescent="0.25">
      <c r="B27" s="31">
        <v>26</v>
      </c>
      <c r="C27" s="37" t="s">
        <v>435</v>
      </c>
      <c r="D27" s="12" t="s">
        <v>433</v>
      </c>
    </row>
    <row r="28" spans="2:4" x14ac:dyDescent="0.25">
      <c r="B28" s="31">
        <v>27</v>
      </c>
      <c r="C28" s="37" t="s">
        <v>374</v>
      </c>
      <c r="D28" s="12" t="s">
        <v>375</v>
      </c>
    </row>
    <row r="29" spans="2:4" x14ac:dyDescent="0.25">
      <c r="B29" s="31">
        <v>28</v>
      </c>
      <c r="C29" s="37" t="s">
        <v>354</v>
      </c>
      <c r="D29" s="12" t="s">
        <v>10</v>
      </c>
    </row>
    <row r="30" spans="2:4" x14ac:dyDescent="0.25">
      <c r="B30" s="31">
        <v>29</v>
      </c>
      <c r="C30" s="37" t="s">
        <v>350</v>
      </c>
      <c r="D30" s="12" t="s">
        <v>12</v>
      </c>
    </row>
    <row r="31" spans="2:4" x14ac:dyDescent="0.25">
      <c r="B31" s="31">
        <v>30</v>
      </c>
      <c r="C31" s="37" t="s">
        <v>387</v>
      </c>
      <c r="D31" s="12" t="s">
        <v>386</v>
      </c>
    </row>
    <row r="32" spans="2:4" x14ac:dyDescent="0.25">
      <c r="B32" s="31">
        <v>31</v>
      </c>
      <c r="C32" s="37" t="s">
        <v>403</v>
      </c>
      <c r="D32" s="12" t="s">
        <v>400</v>
      </c>
    </row>
    <row r="33" spans="2:4" x14ac:dyDescent="0.25">
      <c r="B33" s="31">
        <v>32</v>
      </c>
      <c r="C33" s="37" t="s">
        <v>402</v>
      </c>
      <c r="D33" s="12" t="s">
        <v>400</v>
      </c>
    </row>
    <row r="34" spans="2:4" x14ac:dyDescent="0.25">
      <c r="B34" s="31">
        <v>33</v>
      </c>
      <c r="C34" s="37" t="s">
        <v>334</v>
      </c>
      <c r="D34" s="12" t="s">
        <v>333</v>
      </c>
    </row>
    <row r="35" spans="2:4" x14ac:dyDescent="0.25">
      <c r="B35" s="31">
        <v>34</v>
      </c>
      <c r="C35" s="37" t="s">
        <v>388</v>
      </c>
      <c r="D35" s="12" t="s">
        <v>386</v>
      </c>
    </row>
    <row r="36" spans="2:4" x14ac:dyDescent="0.25">
      <c r="B36" s="31">
        <v>35</v>
      </c>
      <c r="C36" s="37" t="s">
        <v>351</v>
      </c>
      <c r="D36" s="12" t="s">
        <v>12</v>
      </c>
    </row>
    <row r="37" spans="2:4" x14ac:dyDescent="0.25">
      <c r="B37" s="31">
        <v>36</v>
      </c>
      <c r="C37" s="37" t="s">
        <v>355</v>
      </c>
      <c r="D37" s="12" t="s">
        <v>10</v>
      </c>
    </row>
    <row r="38" spans="2:4" x14ac:dyDescent="0.25">
      <c r="B38" s="31">
        <v>37</v>
      </c>
      <c r="C38" s="37" t="s">
        <v>356</v>
      </c>
      <c r="D38" s="12" t="s">
        <v>10</v>
      </c>
    </row>
    <row r="39" spans="2:4" x14ac:dyDescent="0.25">
      <c r="B39" s="31">
        <v>38</v>
      </c>
      <c r="C39" s="37" t="s">
        <v>437</v>
      </c>
      <c r="D39" s="12" t="s">
        <v>433</v>
      </c>
    </row>
    <row r="40" spans="2:4" x14ac:dyDescent="0.25">
      <c r="B40" s="31">
        <v>39</v>
      </c>
      <c r="C40" s="37" t="s">
        <v>372</v>
      </c>
      <c r="D40" s="12" t="s">
        <v>370</v>
      </c>
    </row>
    <row r="41" spans="2:4" x14ac:dyDescent="0.25">
      <c r="B41" s="31">
        <v>40</v>
      </c>
      <c r="C41" s="37" t="s">
        <v>335</v>
      </c>
      <c r="D41" s="12" t="s">
        <v>333</v>
      </c>
    </row>
    <row r="42" spans="2:4" x14ac:dyDescent="0.25">
      <c r="B42" s="31">
        <v>41</v>
      </c>
      <c r="C42" s="37" t="s">
        <v>358</v>
      </c>
      <c r="D42" s="12" t="s">
        <v>10</v>
      </c>
    </row>
    <row r="43" spans="2:4" x14ac:dyDescent="0.25">
      <c r="B43" s="31">
        <v>42</v>
      </c>
      <c r="C43" s="37" t="s">
        <v>438</v>
      </c>
      <c r="D43" s="12" t="s">
        <v>433</v>
      </c>
    </row>
    <row r="44" spans="2:4" x14ac:dyDescent="0.25">
      <c r="B44" s="31">
        <v>43</v>
      </c>
      <c r="C44" s="37" t="s">
        <v>340</v>
      </c>
      <c r="D44" s="12" t="s">
        <v>13</v>
      </c>
    </row>
    <row r="45" spans="2:4" x14ac:dyDescent="0.25">
      <c r="B45" s="31">
        <v>44</v>
      </c>
      <c r="C45" s="37" t="s">
        <v>411</v>
      </c>
      <c r="D45" s="12" t="s">
        <v>412</v>
      </c>
    </row>
    <row r="46" spans="2:4" x14ac:dyDescent="0.25">
      <c r="B46" s="31">
        <v>45</v>
      </c>
      <c r="C46" s="37" t="s">
        <v>357</v>
      </c>
      <c r="D46" s="12" t="s">
        <v>10</v>
      </c>
    </row>
    <row r="47" spans="2:4" x14ac:dyDescent="0.25">
      <c r="B47" s="31">
        <v>46</v>
      </c>
      <c r="C47" s="37" t="s">
        <v>405</v>
      </c>
      <c r="D47" s="12" t="s">
        <v>400</v>
      </c>
    </row>
    <row r="48" spans="2:4" x14ac:dyDescent="0.25">
      <c r="B48" s="31">
        <v>47</v>
      </c>
      <c r="C48" s="37" t="s">
        <v>336</v>
      </c>
      <c r="D48" s="12" t="s">
        <v>333</v>
      </c>
    </row>
    <row r="49" spans="2:4" x14ac:dyDescent="0.25">
      <c r="B49" s="31">
        <v>48</v>
      </c>
      <c r="C49" s="37" t="s">
        <v>389</v>
      </c>
      <c r="D49" s="12" t="s">
        <v>386</v>
      </c>
    </row>
    <row r="50" spans="2:4" x14ac:dyDescent="0.25">
      <c r="B50" s="31">
        <v>49</v>
      </c>
      <c r="C50" s="37" t="s">
        <v>413</v>
      </c>
      <c r="D50" s="12" t="s">
        <v>412</v>
      </c>
    </row>
    <row r="51" spans="2:4" x14ac:dyDescent="0.25">
      <c r="B51" s="31">
        <v>50</v>
      </c>
      <c r="C51" s="37" t="s">
        <v>410</v>
      </c>
      <c r="D51" s="12" t="s">
        <v>7</v>
      </c>
    </row>
    <row r="52" spans="2:4" x14ac:dyDescent="0.25">
      <c r="B52" s="31">
        <v>51</v>
      </c>
      <c r="C52" s="37" t="s">
        <v>363</v>
      </c>
      <c r="D52" s="12" t="s">
        <v>360</v>
      </c>
    </row>
    <row r="53" spans="2:4" x14ac:dyDescent="0.25">
      <c r="B53" s="31">
        <v>52</v>
      </c>
      <c r="C53" s="37" t="s">
        <v>362</v>
      </c>
      <c r="D53" s="12" t="s">
        <v>360</v>
      </c>
    </row>
    <row r="54" spans="2:4" x14ac:dyDescent="0.25">
      <c r="B54" s="31">
        <v>53</v>
      </c>
      <c r="C54" s="37" t="s">
        <v>414</v>
      </c>
      <c r="D54" s="12" t="s">
        <v>412</v>
      </c>
    </row>
    <row r="55" spans="2:4" x14ac:dyDescent="0.25">
      <c r="B55" s="31">
        <v>54</v>
      </c>
      <c r="C55" s="37" t="s">
        <v>395</v>
      </c>
      <c r="D55" s="12" t="s">
        <v>8</v>
      </c>
    </row>
    <row r="56" spans="2:4" x14ac:dyDescent="0.25">
      <c r="B56" s="31">
        <v>55</v>
      </c>
      <c r="C56" s="37" t="s">
        <v>396</v>
      </c>
      <c r="D56" s="12" t="s">
        <v>8</v>
      </c>
    </row>
    <row r="57" spans="2:4" x14ac:dyDescent="0.25">
      <c r="B57" s="31">
        <v>56</v>
      </c>
      <c r="C57" s="37" t="s">
        <v>352</v>
      </c>
      <c r="D57" s="12" t="s">
        <v>12</v>
      </c>
    </row>
    <row r="58" spans="2:4" x14ac:dyDescent="0.25">
      <c r="B58" s="31">
        <v>57</v>
      </c>
      <c r="C58" s="37" t="s">
        <v>397</v>
      </c>
      <c r="D58" s="12" t="s">
        <v>8</v>
      </c>
    </row>
    <row r="59" spans="2:4" x14ac:dyDescent="0.25">
      <c r="B59" s="31">
        <v>58</v>
      </c>
      <c r="C59" s="37" t="s">
        <v>346</v>
      </c>
      <c r="D59" s="12" t="s">
        <v>11</v>
      </c>
    </row>
    <row r="60" spans="2:4" x14ac:dyDescent="0.25">
      <c r="B60" s="31">
        <v>59</v>
      </c>
      <c r="C60" s="37" t="s">
        <v>408</v>
      </c>
      <c r="D60" s="12" t="s">
        <v>408</v>
      </c>
    </row>
    <row r="61" spans="2:4" x14ac:dyDescent="0.25">
      <c r="B61" s="31">
        <v>60</v>
      </c>
      <c r="C61" s="37" t="s">
        <v>418</v>
      </c>
      <c r="D61" s="12" t="s">
        <v>6</v>
      </c>
    </row>
    <row r="62" spans="2:4" x14ac:dyDescent="0.25">
      <c r="B62" s="31">
        <v>61</v>
      </c>
      <c r="C62" s="37" t="s">
        <v>344</v>
      </c>
      <c r="D62" s="12" t="s">
        <v>343</v>
      </c>
    </row>
    <row r="63" spans="2:4" x14ac:dyDescent="0.25">
      <c r="B63" s="31">
        <v>62</v>
      </c>
      <c r="C63" s="37" t="s">
        <v>409</v>
      </c>
      <c r="D63" s="12" t="s">
        <v>408</v>
      </c>
    </row>
    <row r="64" spans="2:4" x14ac:dyDescent="0.25">
      <c r="B64" s="31">
        <v>63</v>
      </c>
      <c r="C64" s="37" t="s">
        <v>341</v>
      </c>
      <c r="D64" s="12" t="s">
        <v>13</v>
      </c>
    </row>
    <row r="65" spans="2:4" x14ac:dyDescent="0.25">
      <c r="B65" s="31">
        <v>64</v>
      </c>
      <c r="C65" s="37" t="s">
        <v>337</v>
      </c>
      <c r="D65" s="12" t="s">
        <v>333</v>
      </c>
    </row>
    <row r="66" spans="2:4" x14ac:dyDescent="0.25">
      <c r="B66" s="31">
        <v>65</v>
      </c>
      <c r="C66" s="37" t="s">
        <v>404</v>
      </c>
      <c r="D66" s="12" t="s">
        <v>400</v>
      </c>
    </row>
    <row r="67" spans="2:4" x14ac:dyDescent="0.25">
      <c r="B67" s="31">
        <v>66</v>
      </c>
      <c r="C67" s="37" t="s">
        <v>390</v>
      </c>
      <c r="D67" s="12" t="s">
        <v>386</v>
      </c>
    </row>
    <row r="68" spans="2:4" x14ac:dyDescent="0.25">
      <c r="B68" s="31">
        <v>67</v>
      </c>
      <c r="C68" s="37" t="s">
        <v>329</v>
      </c>
      <c r="D68" s="12" t="s">
        <v>330</v>
      </c>
    </row>
    <row r="69" spans="2:4" x14ac:dyDescent="0.25">
      <c r="B69" s="31">
        <v>68</v>
      </c>
      <c r="C69" s="37" t="s">
        <v>331</v>
      </c>
      <c r="D69" s="12" t="s">
        <v>330</v>
      </c>
    </row>
    <row r="70" spans="2:4" x14ac:dyDescent="0.25">
      <c r="B70" s="31">
        <v>69</v>
      </c>
      <c r="C70" s="37" t="s">
        <v>439</v>
      </c>
      <c r="D70" s="12" t="s">
        <v>433</v>
      </c>
    </row>
    <row r="71" spans="2:4" x14ac:dyDescent="0.25">
      <c r="B71" s="31">
        <v>70</v>
      </c>
      <c r="C71" s="37" t="s">
        <v>371</v>
      </c>
      <c r="D71" s="12" t="s">
        <v>370</v>
      </c>
    </row>
    <row r="72" spans="2:4" x14ac:dyDescent="0.25">
      <c r="B72" s="31">
        <v>71</v>
      </c>
      <c r="C72" s="37" t="s">
        <v>347</v>
      </c>
      <c r="D72" s="12" t="s">
        <v>11</v>
      </c>
    </row>
    <row r="73" spans="2:4" x14ac:dyDescent="0.25">
      <c r="B73" s="31">
        <v>72</v>
      </c>
      <c r="C73" s="37" t="s">
        <v>415</v>
      </c>
      <c r="D73" s="12" t="s">
        <v>412</v>
      </c>
    </row>
    <row r="74" spans="2:4" x14ac:dyDescent="0.25">
      <c r="B74" s="31">
        <v>73</v>
      </c>
      <c r="C74" s="37" t="s">
        <v>440</v>
      </c>
      <c r="D74" s="12" t="s">
        <v>433</v>
      </c>
    </row>
    <row r="75" spans="2:4" x14ac:dyDescent="0.25">
      <c r="B75" s="31">
        <v>74</v>
      </c>
      <c r="C75" s="37" t="s">
        <v>436</v>
      </c>
      <c r="D75" s="12" t="s">
        <v>433</v>
      </c>
    </row>
    <row r="76" spans="2:4" x14ac:dyDescent="0.25">
      <c r="B76" s="31">
        <v>75</v>
      </c>
      <c r="C76" s="37" t="s">
        <v>9</v>
      </c>
      <c r="D76" s="12" t="s">
        <v>378</v>
      </c>
    </row>
    <row r="77" spans="2:4" x14ac:dyDescent="0.25">
      <c r="B77" s="31">
        <v>76</v>
      </c>
      <c r="C77" s="37" t="s">
        <v>376</v>
      </c>
      <c r="D77" s="12" t="s">
        <v>375</v>
      </c>
    </row>
    <row r="78" spans="2:4" x14ac:dyDescent="0.25">
      <c r="B78" s="31">
        <v>77</v>
      </c>
      <c r="C78" s="37" t="s">
        <v>380</v>
      </c>
      <c r="D78" s="12" t="s">
        <v>378</v>
      </c>
    </row>
    <row r="79" spans="2:4" x14ac:dyDescent="0.25">
      <c r="B79" s="31">
        <v>78</v>
      </c>
      <c r="C79" s="37" t="s">
        <v>384</v>
      </c>
      <c r="D79" s="12" t="s">
        <v>378</v>
      </c>
    </row>
    <row r="80" spans="2:4" x14ac:dyDescent="0.25">
      <c r="B80" s="31">
        <v>79</v>
      </c>
      <c r="C80" s="37" t="s">
        <v>423</v>
      </c>
      <c r="D80" s="12" t="s">
        <v>421</v>
      </c>
    </row>
    <row r="81" spans="2:4" x14ac:dyDescent="0.25">
      <c r="B81" s="31">
        <v>80</v>
      </c>
      <c r="C81" s="37" t="s">
        <v>419</v>
      </c>
      <c r="D81" s="12" t="s">
        <v>6</v>
      </c>
    </row>
    <row r="82" spans="2:4" x14ac:dyDescent="0.25">
      <c r="B82" s="31">
        <v>81</v>
      </c>
      <c r="C82" s="37" t="s">
        <v>406</v>
      </c>
      <c r="D82" s="12" t="s">
        <v>400</v>
      </c>
    </row>
    <row r="83" spans="2:4" x14ac:dyDescent="0.25">
      <c r="B83" s="31">
        <v>82</v>
      </c>
      <c r="C83" s="37" t="s">
        <v>407</v>
      </c>
      <c r="D83" s="12" t="s">
        <v>400</v>
      </c>
    </row>
    <row r="84" spans="2:4" x14ac:dyDescent="0.25">
      <c r="B84" s="31">
        <v>83</v>
      </c>
      <c r="C84" s="37" t="s">
        <v>430</v>
      </c>
      <c r="D84" s="12" t="s">
        <v>426</v>
      </c>
    </row>
    <row r="85" spans="2:4" x14ac:dyDescent="0.25">
      <c r="B85" s="31">
        <v>84</v>
      </c>
      <c r="C85" s="37" t="s">
        <v>431</v>
      </c>
      <c r="D85" s="12" t="s">
        <v>426</v>
      </c>
    </row>
    <row r="86" spans="2:4" x14ac:dyDescent="0.25">
      <c r="B86" s="31">
        <v>85</v>
      </c>
      <c r="C86" s="37" t="s">
        <v>416</v>
      </c>
      <c r="D86" s="12" t="s">
        <v>412</v>
      </c>
    </row>
    <row r="87" spans="2:4" x14ac:dyDescent="0.25">
      <c r="B87" s="31">
        <v>86</v>
      </c>
      <c r="C87" s="37" t="s">
        <v>424</v>
      </c>
      <c r="D87" s="12" t="s">
        <v>421</v>
      </c>
    </row>
    <row r="88" spans="2:4" x14ac:dyDescent="0.25">
      <c r="B88" s="31">
        <v>87</v>
      </c>
      <c r="C88" s="37" t="s">
        <v>394</v>
      </c>
      <c r="D88" s="12" t="s">
        <v>392</v>
      </c>
    </row>
    <row r="89" spans="2:4" x14ac:dyDescent="0.25">
      <c r="B89" s="31">
        <v>88</v>
      </c>
      <c r="C89" s="37" t="s">
        <v>398</v>
      </c>
      <c r="D89" s="12" t="s">
        <v>8</v>
      </c>
    </row>
    <row r="90" spans="2:4" x14ac:dyDescent="0.25">
      <c r="B90" s="31">
        <v>89</v>
      </c>
      <c r="C90" s="37" t="s">
        <v>348</v>
      </c>
      <c r="D90" s="12" t="s">
        <v>11</v>
      </c>
    </row>
    <row r="91" spans="2:4" x14ac:dyDescent="0.25">
      <c r="B91" s="31">
        <v>90</v>
      </c>
      <c r="C91" s="37" t="s">
        <v>373</v>
      </c>
      <c r="D91" s="12" t="s">
        <v>370</v>
      </c>
    </row>
    <row r="92" spans="2:4" x14ac:dyDescent="0.25">
      <c r="B92" s="31">
        <v>91</v>
      </c>
      <c r="C92" s="37" t="s">
        <v>377</v>
      </c>
      <c r="D92" s="12" t="s">
        <v>378</v>
      </c>
    </row>
    <row r="93" spans="2:4" x14ac:dyDescent="0.25">
      <c r="B93" s="31">
        <v>92</v>
      </c>
      <c r="C93" s="37" t="s">
        <v>379</v>
      </c>
      <c r="D93" s="12" t="s">
        <v>378</v>
      </c>
    </row>
    <row r="94" spans="2:4" x14ac:dyDescent="0.25">
      <c r="B94" s="31">
        <v>93</v>
      </c>
      <c r="C94" s="37" t="s">
        <v>381</v>
      </c>
      <c r="D94" s="12" t="s">
        <v>378</v>
      </c>
    </row>
    <row r="95" spans="2:4" x14ac:dyDescent="0.25">
      <c r="B95" s="31">
        <v>94</v>
      </c>
      <c r="C95" s="37" t="s">
        <v>382</v>
      </c>
      <c r="D95" s="12" t="s">
        <v>378</v>
      </c>
    </row>
    <row r="96" spans="2:4" x14ac:dyDescent="0.25">
      <c r="B96" s="31">
        <v>95</v>
      </c>
      <c r="C96" s="37" t="s">
        <v>383</v>
      </c>
      <c r="D96" s="12" t="s">
        <v>378</v>
      </c>
    </row>
    <row r="97" spans="2:4" x14ac:dyDescent="0.25">
      <c r="B97" s="31" t="s">
        <v>364</v>
      </c>
      <c r="C97" s="37" t="s">
        <v>365</v>
      </c>
      <c r="D97" s="12" t="s">
        <v>366</v>
      </c>
    </row>
    <row r="98" spans="2:4" x14ac:dyDescent="0.25">
      <c r="B98" s="31" t="s">
        <v>367</v>
      </c>
      <c r="C98" s="37" t="s">
        <v>368</v>
      </c>
      <c r="D98" s="12" t="s">
        <v>366</v>
      </c>
    </row>
  </sheetData>
  <pageMargins left="0.7" right="0.7" top="0.75" bottom="0.75" header="0.3" footer="0.3"/>
  <pageSetup paperSize="9" orientation="portrait" verticalDpi="598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F102"/>
  <sheetViews>
    <sheetView workbookViewId="0">
      <selection activeCell="B1" sqref="B1"/>
    </sheetView>
  </sheetViews>
  <sheetFormatPr baseColWidth="10" defaultRowHeight="15" x14ac:dyDescent="0.25"/>
  <cols>
    <col min="1" max="1" width="9.7109375" style="20" customWidth="1"/>
    <col min="2" max="2" width="39.85546875" bestFit="1" customWidth="1"/>
    <col min="3" max="3" width="12" bestFit="1" customWidth="1"/>
    <col min="5" max="5" width="21.140625" customWidth="1"/>
    <col min="6" max="6" width="19.7109375" customWidth="1"/>
  </cols>
  <sheetData>
    <row r="1" spans="1:6" s="69" customFormat="1" ht="15" customHeight="1" x14ac:dyDescent="0.25">
      <c r="A1" s="69" t="s">
        <v>235</v>
      </c>
      <c r="B1" s="61" t="s">
        <v>824</v>
      </c>
    </row>
    <row r="2" spans="1:6" s="20" customFormat="1" ht="15" customHeight="1" x14ac:dyDescent="0.25"/>
    <row r="3" spans="1:6" s="20" customFormat="1" ht="15" customHeight="1" x14ac:dyDescent="0.25">
      <c r="B3" s="49" t="s">
        <v>457</v>
      </c>
      <c r="C3" s="44" t="s">
        <v>445</v>
      </c>
    </row>
    <row r="4" spans="1:6" x14ac:dyDescent="0.25">
      <c r="B4" s="35" t="s">
        <v>458</v>
      </c>
      <c r="C4" s="36" t="s">
        <v>459</v>
      </c>
      <c r="E4" s="14"/>
      <c r="F4" s="13"/>
    </row>
    <row r="5" spans="1:6" s="20" customFormat="1" x14ac:dyDescent="0.25">
      <c r="B5" s="35" t="s">
        <v>704</v>
      </c>
      <c r="C5" s="36" t="s">
        <v>705</v>
      </c>
      <c r="F5" s="13"/>
    </row>
    <row r="6" spans="1:6" x14ac:dyDescent="0.25">
      <c r="B6" s="35" t="s">
        <v>706</v>
      </c>
      <c r="C6" s="36" t="s">
        <v>707</v>
      </c>
      <c r="E6" s="14"/>
      <c r="F6" s="9"/>
    </row>
    <row r="7" spans="1:6" x14ac:dyDescent="0.25">
      <c r="B7" s="35" t="s">
        <v>708</v>
      </c>
      <c r="C7" s="36" t="s">
        <v>709</v>
      </c>
    </row>
    <row r="8" spans="1:6" x14ac:dyDescent="0.25">
      <c r="B8" s="35" t="s">
        <v>16</v>
      </c>
      <c r="C8" s="36" t="s">
        <v>17</v>
      </c>
    </row>
    <row r="9" spans="1:6" x14ac:dyDescent="0.25">
      <c r="B9" s="35" t="s">
        <v>78</v>
      </c>
      <c r="C9" s="36" t="s">
        <v>79</v>
      </c>
    </row>
    <row r="10" spans="1:6" x14ac:dyDescent="0.25">
      <c r="B10" s="35" t="s">
        <v>60</v>
      </c>
      <c r="C10" s="36" t="s">
        <v>61</v>
      </c>
    </row>
    <row r="11" spans="1:6" x14ac:dyDescent="0.25">
      <c r="B11" s="35" t="s">
        <v>710</v>
      </c>
      <c r="C11" s="36" t="s">
        <v>711</v>
      </c>
    </row>
    <row r="12" spans="1:6" x14ac:dyDescent="0.25">
      <c r="B12" s="35" t="s">
        <v>18</v>
      </c>
      <c r="C12" s="36" t="s">
        <v>19</v>
      </c>
    </row>
    <row r="13" spans="1:6" x14ac:dyDescent="0.25">
      <c r="B13" s="35" t="s">
        <v>712</v>
      </c>
      <c r="C13" s="36" t="s">
        <v>713</v>
      </c>
    </row>
    <row r="14" spans="1:6" x14ac:dyDescent="0.25">
      <c r="B14" s="35" t="s">
        <v>714</v>
      </c>
      <c r="C14" s="36" t="s">
        <v>20</v>
      </c>
    </row>
    <row r="15" spans="1:6" s="14" customFormat="1" x14ac:dyDescent="0.25">
      <c r="A15" s="20"/>
      <c r="B15" s="35" t="s">
        <v>715</v>
      </c>
      <c r="C15" s="36" t="s">
        <v>716</v>
      </c>
    </row>
    <row r="16" spans="1:6" x14ac:dyDescent="0.25">
      <c r="B16" s="35" t="s">
        <v>717</v>
      </c>
      <c r="C16" s="36" t="s">
        <v>718</v>
      </c>
    </row>
    <row r="17" spans="2:3" x14ac:dyDescent="0.25">
      <c r="B17" s="35" t="s">
        <v>719</v>
      </c>
      <c r="C17" s="36" t="s">
        <v>720</v>
      </c>
    </row>
    <row r="18" spans="2:3" x14ac:dyDescent="0.25">
      <c r="B18" s="35" t="s">
        <v>21</v>
      </c>
      <c r="C18" s="36" t="s">
        <v>22</v>
      </c>
    </row>
    <row r="19" spans="2:3" x14ac:dyDescent="0.25">
      <c r="B19" s="35" t="s">
        <v>23</v>
      </c>
      <c r="C19" s="36" t="s">
        <v>24</v>
      </c>
    </row>
    <row r="20" spans="2:3" x14ac:dyDescent="0.25">
      <c r="B20" s="35" t="s">
        <v>721</v>
      </c>
      <c r="C20" s="36" t="s">
        <v>722</v>
      </c>
    </row>
    <row r="21" spans="2:3" x14ac:dyDescent="0.25">
      <c r="B21" s="35" t="s">
        <v>69</v>
      </c>
      <c r="C21" s="36" t="s">
        <v>70</v>
      </c>
    </row>
    <row r="22" spans="2:3" x14ac:dyDescent="0.25">
      <c r="B22" s="35" t="s">
        <v>723</v>
      </c>
      <c r="C22" s="36" t="s">
        <v>724</v>
      </c>
    </row>
    <row r="23" spans="2:3" x14ac:dyDescent="0.25">
      <c r="B23" s="35" t="s">
        <v>725</v>
      </c>
      <c r="C23" s="36" t="s">
        <v>0</v>
      </c>
    </row>
    <row r="24" spans="2:3" x14ac:dyDescent="0.25">
      <c r="B24" s="35" t="s">
        <v>726</v>
      </c>
      <c r="C24" s="36" t="s">
        <v>236</v>
      </c>
    </row>
    <row r="25" spans="2:3" x14ac:dyDescent="0.25">
      <c r="B25" s="35" t="s">
        <v>727</v>
      </c>
      <c r="C25" s="36" t="s">
        <v>728</v>
      </c>
    </row>
    <row r="26" spans="2:3" x14ac:dyDescent="0.25">
      <c r="B26" s="35" t="s">
        <v>729</v>
      </c>
      <c r="C26" s="36" t="s">
        <v>62</v>
      </c>
    </row>
    <row r="27" spans="2:3" x14ac:dyDescent="0.25">
      <c r="B27" s="35" t="s">
        <v>730</v>
      </c>
      <c r="C27" s="36" t="s">
        <v>731</v>
      </c>
    </row>
    <row r="28" spans="2:3" x14ac:dyDescent="0.25">
      <c r="B28" s="35" t="s">
        <v>732</v>
      </c>
      <c r="C28" s="36" t="s">
        <v>733</v>
      </c>
    </row>
    <row r="29" spans="2:3" x14ac:dyDescent="0.25">
      <c r="B29" s="35" t="s">
        <v>26</v>
      </c>
      <c r="C29" s="36" t="s">
        <v>27</v>
      </c>
    </row>
    <row r="30" spans="2:3" x14ac:dyDescent="0.25">
      <c r="B30" s="35" t="s">
        <v>734</v>
      </c>
      <c r="C30" s="36" t="s">
        <v>735</v>
      </c>
    </row>
    <row r="31" spans="2:3" x14ac:dyDescent="0.25">
      <c r="B31" s="35" t="s">
        <v>736</v>
      </c>
      <c r="C31" s="36" t="s">
        <v>737</v>
      </c>
    </row>
    <row r="32" spans="2:3" x14ac:dyDescent="0.25">
      <c r="B32" s="35" t="s">
        <v>29</v>
      </c>
      <c r="C32" s="36" t="s">
        <v>15</v>
      </c>
    </row>
    <row r="33" spans="2:3" x14ac:dyDescent="0.25">
      <c r="B33" s="35" t="s">
        <v>30</v>
      </c>
      <c r="C33" s="36" t="s">
        <v>31</v>
      </c>
    </row>
    <row r="34" spans="2:3" x14ac:dyDescent="0.25">
      <c r="B34" s="35" t="s">
        <v>73</v>
      </c>
      <c r="C34" s="36" t="s">
        <v>74</v>
      </c>
    </row>
    <row r="35" spans="2:3" x14ac:dyDescent="0.25">
      <c r="B35" s="35" t="s">
        <v>498</v>
      </c>
      <c r="C35" s="36" t="s">
        <v>1</v>
      </c>
    </row>
    <row r="36" spans="2:3" x14ac:dyDescent="0.25">
      <c r="B36" s="35" t="s">
        <v>64</v>
      </c>
      <c r="C36" s="36" t="s">
        <v>65</v>
      </c>
    </row>
    <row r="37" spans="2:3" x14ac:dyDescent="0.25">
      <c r="B37" s="35" t="s">
        <v>738</v>
      </c>
      <c r="C37" s="36" t="s">
        <v>739</v>
      </c>
    </row>
    <row r="38" spans="2:3" x14ac:dyDescent="0.25">
      <c r="B38" s="35" t="s">
        <v>32</v>
      </c>
      <c r="C38" s="36" t="s">
        <v>33</v>
      </c>
    </row>
    <row r="39" spans="2:3" x14ac:dyDescent="0.25">
      <c r="B39" s="35" t="s">
        <v>740</v>
      </c>
      <c r="C39" s="36" t="s">
        <v>741</v>
      </c>
    </row>
    <row r="40" spans="2:3" x14ac:dyDescent="0.25">
      <c r="B40" s="35" t="s">
        <v>35</v>
      </c>
      <c r="C40" s="36" t="s">
        <v>36</v>
      </c>
    </row>
    <row r="41" spans="2:3" x14ac:dyDescent="0.25">
      <c r="B41" s="35" t="s">
        <v>742</v>
      </c>
      <c r="C41" s="36" t="s">
        <v>743</v>
      </c>
    </row>
    <row r="42" spans="2:3" x14ac:dyDescent="0.25">
      <c r="B42" s="35" t="s">
        <v>744</v>
      </c>
      <c r="C42" s="36" t="s">
        <v>745</v>
      </c>
    </row>
    <row r="43" spans="2:3" x14ac:dyDescent="0.25">
      <c r="B43" s="35" t="s">
        <v>746</v>
      </c>
      <c r="C43" s="36" t="s">
        <v>34</v>
      </c>
    </row>
    <row r="44" spans="2:3" x14ac:dyDescent="0.25">
      <c r="B44" s="35" t="s">
        <v>747</v>
      </c>
      <c r="C44" s="36" t="s">
        <v>83</v>
      </c>
    </row>
    <row r="45" spans="2:3" x14ac:dyDescent="0.25">
      <c r="B45" s="35" t="s">
        <v>37</v>
      </c>
      <c r="C45" s="36" t="s">
        <v>38</v>
      </c>
    </row>
    <row r="46" spans="2:3" x14ac:dyDescent="0.25">
      <c r="B46" s="35" t="s">
        <v>748</v>
      </c>
      <c r="C46" s="36" t="s">
        <v>749</v>
      </c>
    </row>
    <row r="47" spans="2:3" x14ac:dyDescent="0.25">
      <c r="B47" s="35" t="s">
        <v>39</v>
      </c>
      <c r="C47" s="36" t="s">
        <v>40</v>
      </c>
    </row>
    <row r="48" spans="2:3" x14ac:dyDescent="0.25">
      <c r="B48" s="35" t="s">
        <v>750</v>
      </c>
      <c r="C48" s="36" t="s">
        <v>751</v>
      </c>
    </row>
    <row r="49" spans="2:3" x14ac:dyDescent="0.25">
      <c r="B49" s="35" t="s">
        <v>752</v>
      </c>
      <c r="C49" s="36" t="s">
        <v>753</v>
      </c>
    </row>
    <row r="50" spans="2:3" x14ac:dyDescent="0.25">
      <c r="B50" s="30" t="s">
        <v>754</v>
      </c>
      <c r="C50" t="s">
        <v>755</v>
      </c>
    </row>
    <row r="51" spans="2:3" x14ac:dyDescent="0.25">
      <c r="B51" s="30" t="s">
        <v>41</v>
      </c>
      <c r="C51" t="s">
        <v>42</v>
      </c>
    </row>
    <row r="52" spans="2:3" x14ac:dyDescent="0.25">
      <c r="B52" s="30" t="s">
        <v>67</v>
      </c>
      <c r="C52" t="s">
        <v>68</v>
      </c>
    </row>
    <row r="53" spans="2:3" x14ac:dyDescent="0.25">
      <c r="B53" s="30" t="s">
        <v>43</v>
      </c>
      <c r="C53" t="s">
        <v>44</v>
      </c>
    </row>
    <row r="54" spans="2:3" x14ac:dyDescent="0.25">
      <c r="B54" s="30" t="s">
        <v>45</v>
      </c>
      <c r="C54" t="s">
        <v>46</v>
      </c>
    </row>
    <row r="55" spans="2:3" x14ac:dyDescent="0.25">
      <c r="B55" s="30" t="s">
        <v>756</v>
      </c>
      <c r="C55" t="s">
        <v>757</v>
      </c>
    </row>
    <row r="56" spans="2:3" x14ac:dyDescent="0.25">
      <c r="B56" s="30" t="s">
        <v>80</v>
      </c>
      <c r="C56" t="s">
        <v>81</v>
      </c>
    </row>
    <row r="57" spans="2:3" x14ac:dyDescent="0.25">
      <c r="B57" s="30" t="s">
        <v>758</v>
      </c>
      <c r="C57" t="s">
        <v>75</v>
      </c>
    </row>
    <row r="58" spans="2:3" x14ac:dyDescent="0.25">
      <c r="B58" s="30" t="s">
        <v>48</v>
      </c>
      <c r="C58" t="s">
        <v>49</v>
      </c>
    </row>
    <row r="59" spans="2:3" x14ac:dyDescent="0.25">
      <c r="B59" s="30" t="s">
        <v>759</v>
      </c>
      <c r="C59" t="s">
        <v>760</v>
      </c>
    </row>
    <row r="60" spans="2:3" x14ac:dyDescent="0.25">
      <c r="B60" s="30" t="s">
        <v>761</v>
      </c>
      <c r="C60" t="s">
        <v>762</v>
      </c>
    </row>
    <row r="61" spans="2:3" x14ac:dyDescent="0.25">
      <c r="B61" s="30" t="s">
        <v>763</v>
      </c>
      <c r="C61" t="s">
        <v>764</v>
      </c>
    </row>
    <row r="62" spans="2:3" x14ac:dyDescent="0.25">
      <c r="B62" s="30" t="s">
        <v>765</v>
      </c>
      <c r="C62" t="s">
        <v>766</v>
      </c>
    </row>
    <row r="63" spans="2:3" x14ac:dyDescent="0.25">
      <c r="B63" s="30" t="s">
        <v>767</v>
      </c>
      <c r="C63" t="s">
        <v>769</v>
      </c>
    </row>
    <row r="64" spans="2:3" x14ac:dyDescent="0.25">
      <c r="B64" s="30" t="s">
        <v>767</v>
      </c>
      <c r="C64" t="s">
        <v>768</v>
      </c>
    </row>
    <row r="65" spans="2:3" x14ac:dyDescent="0.25">
      <c r="B65" s="30" t="s">
        <v>770</v>
      </c>
      <c r="C65" t="s">
        <v>771</v>
      </c>
    </row>
    <row r="66" spans="2:3" x14ac:dyDescent="0.25">
      <c r="B66" s="30" t="s">
        <v>772</v>
      </c>
      <c r="C66" t="s">
        <v>773</v>
      </c>
    </row>
    <row r="67" spans="2:3" x14ac:dyDescent="0.25">
      <c r="B67" s="30" t="s">
        <v>50</v>
      </c>
      <c r="C67" t="s">
        <v>51</v>
      </c>
    </row>
    <row r="68" spans="2:3" x14ac:dyDescent="0.25">
      <c r="B68" s="30" t="s">
        <v>774</v>
      </c>
      <c r="C68" t="s">
        <v>775</v>
      </c>
    </row>
    <row r="69" spans="2:3" x14ac:dyDescent="0.25">
      <c r="B69" s="30" t="s">
        <v>776</v>
      </c>
      <c r="C69" t="s">
        <v>777</v>
      </c>
    </row>
    <row r="70" spans="2:3" x14ac:dyDescent="0.25">
      <c r="B70" s="30" t="s">
        <v>778</v>
      </c>
      <c r="C70" t="s">
        <v>779</v>
      </c>
    </row>
    <row r="71" spans="2:3" x14ac:dyDescent="0.25">
      <c r="B71" s="30" t="s">
        <v>780</v>
      </c>
      <c r="C71" t="s">
        <v>66</v>
      </c>
    </row>
    <row r="72" spans="2:3" x14ac:dyDescent="0.25">
      <c r="B72" s="30" t="s">
        <v>781</v>
      </c>
      <c r="C72" t="s">
        <v>28</v>
      </c>
    </row>
    <row r="73" spans="2:3" x14ac:dyDescent="0.25">
      <c r="B73" s="30" t="s">
        <v>782</v>
      </c>
      <c r="C73" t="s">
        <v>25</v>
      </c>
    </row>
    <row r="74" spans="2:3" x14ac:dyDescent="0.25">
      <c r="B74" s="30" t="s">
        <v>52</v>
      </c>
      <c r="C74" t="s">
        <v>53</v>
      </c>
    </row>
    <row r="75" spans="2:3" x14ac:dyDescent="0.25">
      <c r="B75" s="30" t="s">
        <v>783</v>
      </c>
      <c r="C75" t="s">
        <v>784</v>
      </c>
    </row>
    <row r="76" spans="2:3" x14ac:dyDescent="0.25">
      <c r="B76" s="30" t="s">
        <v>785</v>
      </c>
      <c r="C76" t="s">
        <v>786</v>
      </c>
    </row>
    <row r="77" spans="2:3" x14ac:dyDescent="0.25">
      <c r="B77" s="30" t="s">
        <v>787</v>
      </c>
      <c r="C77" t="s">
        <v>55</v>
      </c>
    </row>
    <row r="78" spans="2:3" x14ac:dyDescent="0.25">
      <c r="B78" s="30" t="s">
        <v>788</v>
      </c>
      <c r="C78" t="s">
        <v>789</v>
      </c>
    </row>
    <row r="79" spans="2:3" x14ac:dyDescent="0.25">
      <c r="B79" s="30" t="s">
        <v>790</v>
      </c>
      <c r="C79" t="s">
        <v>791</v>
      </c>
    </row>
    <row r="80" spans="2:3" x14ac:dyDescent="0.25">
      <c r="B80" s="30" t="s">
        <v>792</v>
      </c>
      <c r="C80" t="s">
        <v>793</v>
      </c>
    </row>
    <row r="81" spans="2:3" x14ac:dyDescent="0.25">
      <c r="B81" s="30" t="s">
        <v>794</v>
      </c>
      <c r="C81" t="s">
        <v>701</v>
      </c>
    </row>
    <row r="82" spans="2:3" x14ac:dyDescent="0.25">
      <c r="B82" s="30" t="s">
        <v>795</v>
      </c>
      <c r="C82" t="s">
        <v>796</v>
      </c>
    </row>
    <row r="83" spans="2:3" x14ac:dyDescent="0.25">
      <c r="B83" s="30" t="s">
        <v>797</v>
      </c>
      <c r="C83" t="s">
        <v>798</v>
      </c>
    </row>
    <row r="84" spans="2:3" x14ac:dyDescent="0.25">
      <c r="B84" s="30" t="s">
        <v>799</v>
      </c>
      <c r="C84" t="s">
        <v>800</v>
      </c>
    </row>
    <row r="85" spans="2:3" x14ac:dyDescent="0.25">
      <c r="B85" s="30" t="s">
        <v>801</v>
      </c>
      <c r="C85" t="s">
        <v>63</v>
      </c>
    </row>
    <row r="86" spans="2:3" x14ac:dyDescent="0.25">
      <c r="B86" s="30" t="s">
        <v>802</v>
      </c>
      <c r="C86" t="s">
        <v>803</v>
      </c>
    </row>
    <row r="87" spans="2:3" x14ac:dyDescent="0.25">
      <c r="B87" s="30" t="s">
        <v>804</v>
      </c>
      <c r="C87" t="s">
        <v>54</v>
      </c>
    </row>
    <row r="88" spans="2:3" x14ac:dyDescent="0.25">
      <c r="B88" s="30" t="s">
        <v>805</v>
      </c>
      <c r="C88" t="s">
        <v>806</v>
      </c>
    </row>
    <row r="89" spans="2:3" x14ac:dyDescent="0.25">
      <c r="B89" s="30" t="s">
        <v>807</v>
      </c>
      <c r="C89" t="s">
        <v>2</v>
      </c>
    </row>
    <row r="90" spans="2:3" x14ac:dyDescent="0.25">
      <c r="B90" s="30" t="s">
        <v>71</v>
      </c>
      <c r="C90" t="s">
        <v>72</v>
      </c>
    </row>
    <row r="91" spans="2:3" x14ac:dyDescent="0.25">
      <c r="B91" s="30" t="s">
        <v>808</v>
      </c>
      <c r="C91" t="s">
        <v>47</v>
      </c>
    </row>
    <row r="92" spans="2:3" x14ac:dyDescent="0.25">
      <c r="B92" s="30" t="s">
        <v>809</v>
      </c>
      <c r="C92" t="s">
        <v>810</v>
      </c>
    </row>
    <row r="93" spans="2:3" x14ac:dyDescent="0.25">
      <c r="B93" s="30" t="s">
        <v>811</v>
      </c>
      <c r="C93" t="s">
        <v>82</v>
      </c>
    </row>
    <row r="94" spans="2:3" x14ac:dyDescent="0.25">
      <c r="B94" s="30" t="s">
        <v>812</v>
      </c>
      <c r="C94" t="s">
        <v>813</v>
      </c>
    </row>
    <row r="95" spans="2:3" x14ac:dyDescent="0.25">
      <c r="B95" s="30" t="s">
        <v>814</v>
      </c>
      <c r="C95" t="s">
        <v>815</v>
      </c>
    </row>
    <row r="96" spans="2:3" x14ac:dyDescent="0.25">
      <c r="B96" s="30" t="s">
        <v>56</v>
      </c>
      <c r="C96" t="s">
        <v>57</v>
      </c>
    </row>
    <row r="97" spans="2:3" x14ac:dyDescent="0.25">
      <c r="B97" s="30" t="s">
        <v>58</v>
      </c>
      <c r="C97" t="s">
        <v>59</v>
      </c>
    </row>
    <row r="98" spans="2:3" x14ac:dyDescent="0.25">
      <c r="B98" s="30" t="s">
        <v>816</v>
      </c>
      <c r="C98" t="s">
        <v>817</v>
      </c>
    </row>
    <row r="99" spans="2:3" x14ac:dyDescent="0.25">
      <c r="B99" s="30" t="s">
        <v>818</v>
      </c>
      <c r="C99" t="s">
        <v>819</v>
      </c>
    </row>
    <row r="100" spans="2:3" x14ac:dyDescent="0.25">
      <c r="B100" s="30" t="s">
        <v>820</v>
      </c>
      <c r="C100" t="s">
        <v>821</v>
      </c>
    </row>
    <row r="101" spans="2:3" x14ac:dyDescent="0.25">
      <c r="B101" s="30" t="s">
        <v>76</v>
      </c>
      <c r="C101" t="s">
        <v>77</v>
      </c>
    </row>
    <row r="102" spans="2:3" x14ac:dyDescent="0.25">
      <c r="B102" s="30" t="s">
        <v>822</v>
      </c>
      <c r="C102" t="s">
        <v>823</v>
      </c>
    </row>
  </sheetData>
  <autoFilter ref="B3:C49">
    <sortState ref="B3:C48">
      <sortCondition ref="B2:B48"/>
    </sortState>
  </autoFilter>
  <sortState ref="B1:C44">
    <sortCondition ref="B1:B44"/>
  </sortState>
  <conditionalFormatting sqref="B4:C49">
    <cfRule type="expression" dxfId="4" priority="6" stopIfTrue="1">
      <formula>#REF!="DE"</formula>
    </cfRule>
    <cfRule type="expression" dxfId="3" priority="7" stopIfTrue="1">
      <formula>#REF!="FC"</formula>
    </cfRule>
    <cfRule type="expression" dxfId="2" priority="8" stopIfTrue="1">
      <formula>OR(#REF!="FN",#REF!="DN")</formula>
    </cfRule>
    <cfRule type="expression" dxfId="1" priority="9" stopIfTrue="1">
      <formula>#REF!="DI"</formula>
    </cfRule>
    <cfRule type="expression" dxfId="0" priority="10" stopIfTrue="1">
      <formula>#REF!="FD"</formula>
    </cfRule>
  </conditionalFormatting>
  <pageMargins left="0.7" right="0.7" top="0.75" bottom="0.75" header="0.3" footer="0.3"/>
  <pageSetup paperSize="9" orientation="portrait" verticalDpi="598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B2:N38"/>
  <sheetViews>
    <sheetView zoomScaleNormal="100" workbookViewId="0">
      <selection activeCell="C7" sqref="C7"/>
    </sheetView>
  </sheetViews>
  <sheetFormatPr baseColWidth="10" defaultRowHeight="15" x14ac:dyDescent="0.25"/>
  <cols>
    <col min="1" max="1" width="7" customWidth="1"/>
    <col min="2" max="2" width="17.28515625" bestFit="1" customWidth="1"/>
    <col min="3" max="3" width="20.140625" customWidth="1"/>
    <col min="5" max="5" width="20.5703125" customWidth="1"/>
    <col min="6" max="6" width="15.7109375" customWidth="1"/>
    <col min="8" max="8" width="15.7109375" customWidth="1"/>
    <col min="9" max="9" width="0" hidden="1" customWidth="1"/>
    <col min="12" max="12" width="15.7109375" style="77" customWidth="1"/>
    <col min="13" max="13" width="0" style="77" hidden="1" customWidth="1"/>
    <col min="14" max="14" width="11.42578125" style="77"/>
  </cols>
  <sheetData>
    <row r="2" spans="2:14" x14ac:dyDescent="0.25">
      <c r="B2" s="14" t="s">
        <v>240</v>
      </c>
      <c r="C2" s="55" t="s">
        <v>1005</v>
      </c>
      <c r="E2" s="16" t="s">
        <v>473</v>
      </c>
      <c r="F2" s="16"/>
      <c r="H2" s="16" t="s">
        <v>873</v>
      </c>
      <c r="J2" s="16" t="s">
        <v>874</v>
      </c>
      <c r="L2" s="16" t="s">
        <v>696</v>
      </c>
      <c r="N2" s="16" t="s">
        <v>700</v>
      </c>
    </row>
    <row r="3" spans="2:14" x14ac:dyDescent="0.25">
      <c r="B3" s="14" t="s">
        <v>241</v>
      </c>
      <c r="C3" t="s">
        <v>242</v>
      </c>
      <c r="E3" s="80" t="s">
        <v>474</v>
      </c>
      <c r="F3" s="80" t="s">
        <v>475</v>
      </c>
      <c r="H3" s="77" t="s">
        <v>474</v>
      </c>
      <c r="J3" s="69" t="s">
        <v>509</v>
      </c>
      <c r="L3" s="77" t="s">
        <v>474</v>
      </c>
      <c r="N3" s="77" t="s">
        <v>509</v>
      </c>
    </row>
    <row r="4" spans="2:14" x14ac:dyDescent="0.25">
      <c r="B4" s="14" t="s">
        <v>243</v>
      </c>
      <c r="C4" t="s">
        <v>244</v>
      </c>
      <c r="E4" s="80" t="s">
        <v>476</v>
      </c>
      <c r="F4" s="80" t="s">
        <v>475</v>
      </c>
      <c r="H4" s="77" t="s">
        <v>476</v>
      </c>
      <c r="J4" s="69" t="s">
        <v>514</v>
      </c>
      <c r="L4" s="77" t="s">
        <v>476</v>
      </c>
      <c r="N4" s="77" t="s">
        <v>514</v>
      </c>
    </row>
    <row r="5" spans="2:14" x14ac:dyDescent="0.25">
      <c r="E5" s="80" t="s">
        <v>477</v>
      </c>
      <c r="F5" s="80" t="s">
        <v>475</v>
      </c>
      <c r="H5" s="77" t="s">
        <v>477</v>
      </c>
      <c r="J5" s="77" t="s">
        <v>482</v>
      </c>
      <c r="L5" s="77" t="s">
        <v>477</v>
      </c>
    </row>
    <row r="6" spans="2:14" x14ac:dyDescent="0.25">
      <c r="B6" s="14" t="s">
        <v>245</v>
      </c>
      <c r="C6" s="55" t="s">
        <v>1007</v>
      </c>
      <c r="E6" s="80" t="s">
        <v>510</v>
      </c>
      <c r="F6" s="80" t="s">
        <v>475</v>
      </c>
      <c r="H6" s="77" t="s">
        <v>510</v>
      </c>
      <c r="J6" s="77" t="s">
        <v>483</v>
      </c>
      <c r="L6" s="77" t="s">
        <v>510</v>
      </c>
    </row>
    <row r="7" spans="2:14" x14ac:dyDescent="0.25">
      <c r="B7" s="14" t="s">
        <v>246</v>
      </c>
      <c r="C7" t="s">
        <v>242</v>
      </c>
      <c r="E7" s="80" t="s">
        <v>478</v>
      </c>
      <c r="F7" s="80" t="s">
        <v>475</v>
      </c>
      <c r="H7" s="77" t="s">
        <v>478</v>
      </c>
      <c r="L7" s="77" t="s">
        <v>478</v>
      </c>
    </row>
    <row r="8" spans="2:14" x14ac:dyDescent="0.25">
      <c r="B8" s="14" t="s">
        <v>247</v>
      </c>
      <c r="C8" t="s">
        <v>248</v>
      </c>
      <c r="E8" s="80" t="s">
        <v>479</v>
      </c>
      <c r="F8" s="80" t="s">
        <v>475</v>
      </c>
      <c r="H8" s="77" t="s">
        <v>479</v>
      </c>
      <c r="L8" s="77" t="s">
        <v>479</v>
      </c>
    </row>
    <row r="9" spans="2:14" ht="15" customHeight="1" x14ac:dyDescent="0.25">
      <c r="E9" s="80" t="s">
        <v>480</v>
      </c>
      <c r="F9" s="80" t="s">
        <v>475</v>
      </c>
      <c r="H9" s="77" t="s">
        <v>480</v>
      </c>
      <c r="L9" s="77" t="s">
        <v>481</v>
      </c>
    </row>
    <row r="10" spans="2:14" ht="15" customHeight="1" x14ac:dyDescent="0.25">
      <c r="B10" s="14" t="s">
        <v>249</v>
      </c>
      <c r="C10" s="61" t="s">
        <v>697</v>
      </c>
      <c r="E10" s="80" t="s">
        <v>481</v>
      </c>
      <c r="F10" s="80" t="s">
        <v>475</v>
      </c>
      <c r="H10" s="77" t="s">
        <v>481</v>
      </c>
      <c r="L10" s="77" t="s">
        <v>444</v>
      </c>
    </row>
    <row r="11" spans="2:14" ht="15" customHeight="1" x14ac:dyDescent="0.25">
      <c r="B11" s="14" t="s">
        <v>250</v>
      </c>
      <c r="C11" s="8" t="s">
        <v>441</v>
      </c>
      <c r="E11" s="80" t="s">
        <v>482</v>
      </c>
      <c r="F11" s="80" t="s">
        <v>475</v>
      </c>
      <c r="H11" s="77" t="s">
        <v>482</v>
      </c>
      <c r="L11" s="77" t="s">
        <v>485</v>
      </c>
    </row>
    <row r="12" spans="2:14" ht="15" customHeight="1" x14ac:dyDescent="0.25">
      <c r="B12" s="14"/>
      <c r="E12" s="80" t="s">
        <v>483</v>
      </c>
      <c r="F12" s="80" t="s">
        <v>475</v>
      </c>
      <c r="H12" s="77" t="s">
        <v>483</v>
      </c>
      <c r="L12" s="77" t="s">
        <v>509</v>
      </c>
    </row>
    <row r="13" spans="2:14" x14ac:dyDescent="0.25">
      <c r="B13" s="50" t="s">
        <v>456</v>
      </c>
      <c r="C13">
        <v>54</v>
      </c>
      <c r="E13" s="80" t="s">
        <v>509</v>
      </c>
      <c r="F13" s="80" t="s">
        <v>475</v>
      </c>
      <c r="H13" s="77" t="s">
        <v>509</v>
      </c>
      <c r="L13" s="77" t="s">
        <v>484</v>
      </c>
    </row>
    <row r="14" spans="2:14" x14ac:dyDescent="0.25">
      <c r="E14" s="80" t="s">
        <v>484</v>
      </c>
      <c r="F14" s="80" t="s">
        <v>475</v>
      </c>
      <c r="H14" s="77" t="s">
        <v>484</v>
      </c>
      <c r="L14" s="77" t="s">
        <v>514</v>
      </c>
    </row>
    <row r="15" spans="2:14" x14ac:dyDescent="0.25">
      <c r="B15" s="50" t="s">
        <v>471</v>
      </c>
      <c r="C15" s="52">
        <v>0.01</v>
      </c>
      <c r="E15" s="80" t="s">
        <v>444</v>
      </c>
      <c r="F15" s="80" t="s">
        <v>475</v>
      </c>
      <c r="H15" s="77" t="s">
        <v>444</v>
      </c>
      <c r="L15" s="77" t="s">
        <v>511</v>
      </c>
    </row>
    <row r="16" spans="2:14" x14ac:dyDescent="0.25">
      <c r="B16" s="50" t="s">
        <v>472</v>
      </c>
      <c r="C16" s="52">
        <v>0.01</v>
      </c>
      <c r="E16" s="80" t="s">
        <v>485</v>
      </c>
      <c r="F16" s="80" t="s">
        <v>475</v>
      </c>
      <c r="H16" s="77" t="s">
        <v>485</v>
      </c>
      <c r="L16" s="77" t="s">
        <v>486</v>
      </c>
    </row>
    <row r="17" spans="5:12" x14ac:dyDescent="0.25">
      <c r="E17" s="80" t="s">
        <v>514</v>
      </c>
      <c r="F17" s="80" t="s">
        <v>475</v>
      </c>
      <c r="H17" s="77" t="s">
        <v>514</v>
      </c>
      <c r="L17" s="77" t="s">
        <v>490</v>
      </c>
    </row>
    <row r="18" spans="5:12" x14ac:dyDescent="0.25">
      <c r="E18" s="80" t="s">
        <v>486</v>
      </c>
      <c r="F18" s="80" t="s">
        <v>475</v>
      </c>
      <c r="H18" s="77" t="s">
        <v>486</v>
      </c>
      <c r="L18" s="77" t="s">
        <v>699</v>
      </c>
    </row>
    <row r="19" spans="5:12" x14ac:dyDescent="0.25">
      <c r="E19" s="80" t="s">
        <v>511</v>
      </c>
      <c r="F19" s="80" t="s">
        <v>487</v>
      </c>
      <c r="H19" s="77" t="s">
        <v>511</v>
      </c>
      <c r="L19" s="77" t="s">
        <v>492</v>
      </c>
    </row>
    <row r="20" spans="5:12" x14ac:dyDescent="0.25">
      <c r="E20" s="80" t="s">
        <v>488</v>
      </c>
      <c r="F20" s="80" t="s">
        <v>475</v>
      </c>
      <c r="H20" s="77" t="s">
        <v>488</v>
      </c>
      <c r="L20" s="77" t="s">
        <v>493</v>
      </c>
    </row>
    <row r="21" spans="5:12" x14ac:dyDescent="0.25">
      <c r="E21" s="80" t="s">
        <v>489</v>
      </c>
      <c r="F21" s="80" t="s">
        <v>475</v>
      </c>
      <c r="H21" s="77" t="s">
        <v>489</v>
      </c>
      <c r="L21" s="77" t="s">
        <v>465</v>
      </c>
    </row>
    <row r="22" spans="5:12" x14ac:dyDescent="0.25">
      <c r="E22" s="80" t="s">
        <v>490</v>
      </c>
      <c r="F22" s="80" t="s">
        <v>475</v>
      </c>
      <c r="H22" s="77" t="s">
        <v>490</v>
      </c>
      <c r="L22" s="77" t="s">
        <v>867</v>
      </c>
    </row>
    <row r="23" spans="5:12" x14ac:dyDescent="0.25">
      <c r="E23" s="80" t="s">
        <v>699</v>
      </c>
      <c r="F23" s="80" t="s">
        <v>475</v>
      </c>
      <c r="H23" s="77" t="s">
        <v>699</v>
      </c>
      <c r="L23" s="77" t="s">
        <v>869</v>
      </c>
    </row>
    <row r="24" spans="5:12" x14ac:dyDescent="0.25">
      <c r="E24" s="80" t="s">
        <v>692</v>
      </c>
      <c r="F24" s="80" t="s">
        <v>475</v>
      </c>
      <c r="H24" s="77" t="s">
        <v>692</v>
      </c>
    </row>
    <row r="25" spans="5:12" x14ac:dyDescent="0.25">
      <c r="E25" s="80" t="s">
        <v>491</v>
      </c>
      <c r="F25" s="80" t="s">
        <v>487</v>
      </c>
      <c r="H25" s="77" t="s">
        <v>491</v>
      </c>
    </row>
    <row r="26" spans="5:12" x14ac:dyDescent="0.25">
      <c r="E26" s="80" t="s">
        <v>461</v>
      </c>
      <c r="F26" s="80" t="s">
        <v>487</v>
      </c>
      <c r="H26" s="77" t="s">
        <v>461</v>
      </c>
    </row>
    <row r="27" spans="5:12" x14ac:dyDescent="0.25">
      <c r="E27" s="80" t="s">
        <v>251</v>
      </c>
      <c r="F27" s="80" t="s">
        <v>487</v>
      </c>
      <c r="H27" s="77" t="s">
        <v>251</v>
      </c>
    </row>
    <row r="28" spans="5:12" x14ac:dyDescent="0.25">
      <c r="E28" s="80" t="s">
        <v>252</v>
      </c>
      <c r="F28" s="80" t="s">
        <v>487</v>
      </c>
      <c r="H28" s="77" t="s">
        <v>252</v>
      </c>
    </row>
    <row r="29" spans="5:12" x14ac:dyDescent="0.25">
      <c r="E29" s="80" t="s">
        <v>253</v>
      </c>
      <c r="F29" s="80" t="s">
        <v>487</v>
      </c>
      <c r="H29" s="77" t="s">
        <v>253</v>
      </c>
    </row>
    <row r="30" spans="5:12" x14ac:dyDescent="0.25">
      <c r="E30" s="80" t="s">
        <v>512</v>
      </c>
      <c r="F30" s="80" t="s">
        <v>487</v>
      </c>
      <c r="H30" s="77" t="s">
        <v>512</v>
      </c>
    </row>
    <row r="31" spans="5:12" x14ac:dyDescent="0.25">
      <c r="E31" s="80" t="s">
        <v>254</v>
      </c>
      <c r="F31" s="80" t="s">
        <v>487</v>
      </c>
      <c r="H31" s="77" t="s">
        <v>254</v>
      </c>
    </row>
    <row r="32" spans="5:12" x14ac:dyDescent="0.25">
      <c r="E32" s="80" t="s">
        <v>492</v>
      </c>
      <c r="F32" s="80" t="s">
        <v>487</v>
      </c>
      <c r="H32" s="77" t="s">
        <v>492</v>
      </c>
    </row>
    <row r="33" spans="5:8" x14ac:dyDescent="0.25">
      <c r="E33" s="80" t="s">
        <v>493</v>
      </c>
      <c r="F33" s="80" t="s">
        <v>487</v>
      </c>
      <c r="H33" s="77" t="s">
        <v>867</v>
      </c>
    </row>
    <row r="34" spans="5:8" x14ac:dyDescent="0.25">
      <c r="E34" s="80" t="s">
        <v>494</v>
      </c>
      <c r="F34" s="80" t="s">
        <v>487</v>
      </c>
      <c r="H34" s="77" t="s">
        <v>493</v>
      </c>
    </row>
    <row r="35" spans="5:8" x14ac:dyDescent="0.25">
      <c r="E35" s="80" t="s">
        <v>465</v>
      </c>
      <c r="F35" s="80" t="s">
        <v>487</v>
      </c>
      <c r="H35" s="77" t="s">
        <v>869</v>
      </c>
    </row>
    <row r="36" spans="5:8" x14ac:dyDescent="0.25">
      <c r="E36" s="80" t="s">
        <v>867</v>
      </c>
      <c r="F36" s="80" t="s">
        <v>487</v>
      </c>
      <c r="H36" s="77" t="s">
        <v>494</v>
      </c>
    </row>
    <row r="37" spans="5:8" x14ac:dyDescent="0.25">
      <c r="E37" s="80" t="s">
        <v>869</v>
      </c>
      <c r="F37" s="80" t="s">
        <v>487</v>
      </c>
      <c r="H37" s="77" t="s">
        <v>465</v>
      </c>
    </row>
    <row r="38" spans="5:8" x14ac:dyDescent="0.25">
      <c r="E38" s="65" t="s">
        <v>494</v>
      </c>
      <c r="F38" s="65" t="s">
        <v>487</v>
      </c>
      <c r="H38" s="77" t="s">
        <v>494</v>
      </c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Button_InitFormat">
                <anchor moveWithCells="1" sizeWithCells="1">
                  <from>
                    <xdr:col>5</xdr:col>
                    <xdr:colOff>9525</xdr:colOff>
                    <xdr:row>1</xdr:row>
                    <xdr:rowOff>9525</xdr:rowOff>
                  </from>
                  <to>
                    <xdr:col>5</xdr:col>
                    <xdr:colOff>1038225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2</vt:i4>
      </vt:variant>
    </vt:vector>
  </HeadingPairs>
  <TitlesOfParts>
    <vt:vector size="12" baseType="lpstr">
      <vt:lpstr>Commandes</vt:lpstr>
      <vt:lpstr>DATA</vt:lpstr>
      <vt:lpstr>Analyse INT</vt:lpstr>
      <vt:lpstr>Analyse EXT</vt:lpstr>
      <vt:lpstr>FORMULES</vt:lpstr>
      <vt:lpstr>TARIFS</vt:lpstr>
      <vt:lpstr>CALENDRIERS</vt:lpstr>
      <vt:lpstr>GEO</vt:lpstr>
      <vt:lpstr>FOURNISSEURS</vt:lpstr>
      <vt:lpstr>PARAM</vt:lpstr>
      <vt:lpstr>CTR_C</vt:lpstr>
      <vt:lpstr>FRN</vt:lpstr>
    </vt:vector>
  </TitlesOfParts>
  <Company>ERDF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ap03f0ea</dc:creator>
  <cp:lastModifiedBy>ARNAUD Paul</cp:lastModifiedBy>
  <dcterms:created xsi:type="dcterms:W3CDTF">2016-09-08T05:52:41Z</dcterms:created>
  <dcterms:modified xsi:type="dcterms:W3CDTF">2020-10-05T13:49:08Z</dcterms:modified>
</cp:coreProperties>
</file>